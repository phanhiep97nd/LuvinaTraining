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aodangket\OneDrive - Cong ty CP Phan mem Luvina - HNIM00417\VPS_Training\10_common\11_enviroment\"/>
    </mc:Choice>
  </mc:AlternateContent>
  <xr:revisionPtr revIDLastSave="0" documentId="13_ncr:1_{9F1654E9-53FE-4EBE-91DE-9B91AC7C64C4}" xr6:coauthVersionLast="47" xr6:coauthVersionMax="47" xr10:uidLastSave="{00000000-0000-0000-0000-000000000000}"/>
  <bookViews>
    <workbookView xWindow="-120" yWindow="-120" windowWidth="20730" windowHeight="11160" xr2:uid="{ACD46E06-DF3A-497F-91ED-59F23EBD15A9}"/>
  </bookViews>
  <sheets>
    <sheet name="Thông tin TK" sheetId="4" r:id="rId1"/>
    <sheet name="Member training" sheetId="3" r:id="rId2"/>
    <sheet name="Tổng hợp" sheetId="2" r:id="rId3"/>
    <sheet name="Chi tiết" sheetId="1" r:id="rId4"/>
  </sheets>
  <definedNames>
    <definedName name="_xlnm._FilterDatabase" localSheetId="3" hidden="1">'Chi tiết'!$B$2:$P$36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 i="2" l="1"/>
  <c r="G35" i="1"/>
  <c r="H35" i="1" s="1"/>
  <c r="G34" i="1"/>
  <c r="H34" i="1" s="1"/>
  <c r="G33" i="1"/>
  <c r="H33" i="1" s="1"/>
  <c r="G32" i="1"/>
  <c r="H32" i="1" s="1"/>
  <c r="G31" i="1"/>
  <c r="H31" i="1" s="1"/>
  <c r="G30" i="1"/>
  <c r="H30" i="1" s="1"/>
  <c r="G29" i="1"/>
  <c r="H29" i="1" s="1"/>
  <c r="G28" i="1"/>
  <c r="H28" i="1" s="1"/>
  <c r="G27" i="1"/>
  <c r="H27" i="1" s="1"/>
  <c r="G26" i="1"/>
  <c r="H26" i="1" s="1"/>
  <c r="G25" i="1"/>
  <c r="H25" i="1" s="1"/>
  <c r="G24" i="1"/>
  <c r="H24" i="1" s="1"/>
  <c r="G23" i="1"/>
  <c r="H23" i="1" s="1"/>
  <c r="G22" i="1"/>
  <c r="H22" i="1" s="1"/>
  <c r="G21" i="1"/>
  <c r="H21" i="1" s="1"/>
  <c r="G20" i="1"/>
  <c r="H20" i="1" s="1"/>
  <c r="G19" i="1"/>
  <c r="H19" i="1" s="1"/>
  <c r="G18" i="1"/>
  <c r="H18" i="1" s="1"/>
  <c r="G17" i="1"/>
  <c r="H17" i="1" s="1"/>
  <c r="G16" i="1"/>
  <c r="H16" i="1" s="1"/>
  <c r="G15" i="1"/>
  <c r="H15" i="1" s="1"/>
  <c r="G14" i="1"/>
  <c r="H14" i="1" s="1"/>
  <c r="G13" i="1"/>
  <c r="H13" i="1" s="1"/>
  <c r="G12" i="1"/>
  <c r="H12" i="1" s="1"/>
  <c r="G11" i="1"/>
  <c r="H11" i="1" s="1"/>
  <c r="G10" i="1"/>
  <c r="H10" i="1" s="1"/>
  <c r="G9" i="1"/>
  <c r="H9" i="1" s="1"/>
  <c r="G8" i="1"/>
  <c r="H8" i="1" s="1"/>
  <c r="G7" i="1"/>
  <c r="H7" i="1" s="1"/>
  <c r="G6" i="1"/>
  <c r="H6" i="1" s="1"/>
  <c r="G5" i="1"/>
  <c r="H5" i="1" s="1"/>
  <c r="G4" i="1"/>
  <c r="H4" i="1" s="1"/>
  <c r="G3" i="1"/>
  <c r="H3" i="1" s="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 i="1"/>
</calcChain>
</file>

<file path=xl/sharedStrings.xml><?xml version="1.0" encoding="utf-8"?>
<sst xmlns="http://schemas.openxmlformats.org/spreadsheetml/2006/main" count="255" uniqueCount="162">
  <si>
    <t>Next.js</t>
  </si>
  <si>
    <t>Chủ đề</t>
  </si>
  <si>
    <t>Khóa học</t>
  </si>
  <si>
    <t>Nội dung</t>
  </si>
  <si>
    <t>Link</t>
  </si>
  <si>
    <t>Ethereum with Solidity, React &amp; Next.js - The Complete Guide</t>
  </si>
  <si>
    <t>Create real-life apps on the blockchain.
Build Smart contracts and DApps with ease.
Understand complex Ethereum topics in practical and fun way
Develop a real app on the Ethereum, Polygon and Solana Blockchain</t>
  </si>
  <si>
    <t>https://www.udemy.com/course/solidity-ethereum-in-react-next-js-the-complete-guide/?couponCode=CM251224G1</t>
  </si>
  <si>
    <t>Next.js 15 &amp; React - The Complete Guide</t>
  </si>
  <si>
    <t>Learn how to build fullstack React apps with NextJS 15 &amp; the App Router
Build real projects and apply what you learned with hands-on projects and examples
Learn about different ways of building NextJS app - App Router vs Pages Router
Get started with React Server Components, Client Components, data fetching &amp; more!
Handle data submissions via Server Actions
Learn all key NextJS features like pre-rendering, SSR, data fetching, file-based routing and authentication
Take the full course or the "NextJS Summary" module for a quickstart if you have limited time</t>
  </si>
  <si>
    <t>https://www.udemy.com/course/nextjs-react-the-complete-guide/?couponCode=CM251224G1</t>
  </si>
  <si>
    <t>Testing Next.js Apps with Jest, Testing Library and Cypress</t>
  </si>
  <si>
    <t>https://www.udemy.com/course/nextjs-testing/?couponCode=CM251224G1</t>
  </si>
  <si>
    <t>Testing Next . js UI, API, routes, authentication and database interactions
When to use unit testing, integration testing and end-to-end testing -- and why!
Strategies for testing SSG, SSR, ISR and CSR (including cache updates and SWR revalidation intervals)
How to use a test database for tests that involve data fetching and mutations</t>
  </si>
  <si>
    <t>The Ultimate React Course 2025: React, Next.js, Redux &amp; More</t>
  </si>
  <si>
    <t>Become an advanced, confident, and modern React developer from scratch
Build 10+ beautiful projects, including two HUGE professional real-world apps
Become job-ready by working with libraries and tools used in professional projects
Join my other 1,900,000+ happy students on this journey
Think like a senior React engineer with advanced design patterns
Next..js "App" router with cutting-edge React Server Components + Server Actions
State management: thinking about state, where to place, local vs. global, UI vs. remote
Build reusable, composable, and versatile components</t>
  </si>
  <si>
    <t>The Ultimate React Course 2025: React, Next.js, Redux &amp; More | Udemy</t>
  </si>
  <si>
    <t>Next JS: The Complete Developer's Guide</t>
  </si>
  <si>
    <t>https://www.udemy.com/course/next-js-the-complete-developers-guide/?couponCode=CM251224G1</t>
  </si>
  <si>
    <t>Make incredibly performant web apps using Next JS
Understand the differences between running Next JS in development and production environments
Utilize four different caching systems to speed up request response times
Use the latest React tech with Server Components to build streaming interfaces
Implement robust and secure user authentication with the Next Auth library
Automatically update and refresh data with the use of Server Actions with Revalidation
Optimize image fetching and loading through the use of Next's Image component
Add robust form validation and handling by implementing React's new useFormState hook</t>
  </si>
  <si>
    <t>TypeScript</t>
  </si>
  <si>
    <t>https://www.udemy.com/course/typescript-from-zero-to-expert/?couponCode=CM251224G1</t>
  </si>
  <si>
    <t>TypeScript: From Zero to Expert (2024)</t>
  </si>
  <si>
    <t>TypeScript Fundamentals
Object Oriented Programming
Inheritance
Abstract Classes and Interfaces</t>
  </si>
  <si>
    <t>Introduction to TypeScript Development</t>
  </si>
  <si>
    <t>Be ready to move onto building Angular, React and Vue applications.
Code with the TypeScript programming language.
Work with TypeScript classes and object oriented programming concepts.</t>
  </si>
  <si>
    <t>Introduction to TypeScript Development | Udemy</t>
  </si>
  <si>
    <t>Practical Typescript</t>
  </si>
  <si>
    <t>Understand TypeScript Basics: Grasp type annotations, inference, union types, and handling "any", "unknown", and "never" types.
Master Advanced Features: Learn generics, data fetching, and Zod library for validation in TypeScript.
Integrate with React: Master TypeScript integration with React, covering component structure, prop handling, and state management.
Build Modern Applications: Develop skills to create store applications with TypeScript, Shadcn/ui, React Router, authentication, and pagination.</t>
  </si>
  <si>
    <t>Practical Typescript | Udemy</t>
  </si>
  <si>
    <t>Best practices &amp; advanced TypeScript tips for React devs</t>
  </si>
  <si>
    <t>How to get the most out of TypeScript when writing React applications
Configure TypeScript in an even stricter mode
Validate data in a TypeScript friendly way at the application boundary
Use better constructs then casting to inform TypeScript about the types used</t>
  </si>
  <si>
    <t>https://www.udemy.com/course/best-practices-advanced-typescript-tips-for-react-devs/?couponCode=CM251224G1</t>
  </si>
  <si>
    <t>Typescript: The Complete Developer's Guide</t>
  </si>
  <si>
    <t>Master design patterns for building large applications
Integrate Typescript into React/Redux or Express projects
Understand Composition vs Inheritance, and when to use each
Write reusable code powered by classes and interfaces
Assemble reusable boilerplates for your own Typescript projects</t>
  </si>
  <si>
    <t>https://www.udemy.com/course/typescript-the-complete-developers-guide/?couponCode=CM251224G1</t>
  </si>
  <si>
    <t>JavaScript</t>
  </si>
  <si>
    <t>The Complete JavaScript Course 2025: From Zero to Expert!</t>
  </si>
  <si>
    <t>Become an advanced, confident, and modern JavaScript developer from scratch
Build 6 beautiful real-world projects for your portfolio (not boring toy apps)
Become job-ready by understanding how JavaScript really works behind the scenes
How to think and work like a developer: problem-solving, researching, workflows
JavaScript fundamentals: variables, if/else, operators, boolean logic, functions, arrays, objects, loops, strings, etc.
Modern ES6+ from the beginning: arrow functions, destructuring, spread operator, optional chaining (ES2020), etc.
Modern OOP: Classes, constructors, prototypal inheritance, encapsulation, etc.
Complex concepts like the 'this' keyword, higher-order functions, closures, etc.</t>
  </si>
  <si>
    <t>https://www.udemy.com/course/the-complete-javascript-course/?couponCode=CM251224G1</t>
  </si>
  <si>
    <t>The Complete Full-Stack Web Development Bootcamp</t>
  </si>
  <si>
    <t>Build 16 web development projects for your portfolio, ready to apply for junior developer jobs.
Learn the latest technologies, including Javascript, React, Node and even Web3 development.
After the course you will be able to build ANY website you want.
Build fully-fledged websites and web apps for your startup or business.
Work as a freelance web developer.
Master frontend development with React
Master backend development with Node
Learn professional developer best practices.</t>
  </si>
  <si>
    <t>The Complete Full-Stack Web Development Bootcamp | Udemy</t>
  </si>
  <si>
    <t>Pro Javascript backend developer</t>
  </si>
  <si>
    <t>Become an advance backend developer
Become Job Ready according to company standards
Learn How to write Documentation
Learn How to deploy project on Server
Learn Authentication
How to integrate payment gateway with Razorpay and Stripe
Learn about File Handling, Secure routes and Middleware
Learn to design complete flow of a project
Make a complete eCommerce project</t>
  </si>
  <si>
    <t>https://www.udemy.com/course/pro-javascript-backend-developer/?couponCode=CM251224G1</t>
  </si>
  <si>
    <t>Javascript for Beginners Learn by Doing Practical Exercises</t>
  </si>
  <si>
    <t>Learn to write JavaScript functions
Learn to write Javascript arrays
Learn to write Javascript loops
Learn to write Javascript math operations
Learn to write Javascript condition structure (if statements)
Learn to about Javascript variables
Extra code based on the instructor experience as a bonus</t>
  </si>
  <si>
    <t>https://www.udemy.com/course/javascript-for-beginners-introduction-learn-fast-easy/?couponCode=CM251224G1</t>
  </si>
  <si>
    <t>JavaScript 45-Day Bootcamp: Learn Web Development</t>
  </si>
  <si>
    <t>Go from beginner to pro Javascript developer in just 45 days
Learn by doing. Each day has a practical project so you can see how what you're learning applies to the real world
Gain a highly desired skill that you can use to land a dream job in the tech field
Comprehensive Understanding of JavaScript Fundamentals
Proficiency in HTML and CSS
Effective Use of Developer Tools and IDEs
Dynamic Web Interaction with DOM Manipulation
API Integration and Fetch API
Building Real-time Applications
Learn to Node js and Express
Database Integration and Management with Sequelize and Firestore
Building and Deploying Applications
Creating Google Chrome Extensions
Front-End Development with React</t>
  </si>
  <si>
    <t>JavaScript 45-Day Bootcamp: Learn Web Development | Udemy</t>
  </si>
  <si>
    <t>PostgreSQL</t>
  </si>
  <si>
    <t>The Complete SQL Bootcamp: Go from Zero to Hero</t>
  </si>
  <si>
    <t>Use SQL to query a database
Use SQL to perform data analysis
Be comfortable putting SQL and PostgreSQL on their resume
Learn to perform GROUP BY statements
Replicate real-world situations and query reports</t>
  </si>
  <si>
    <t>https://www.udemy.com/course/the-complete-sql-bootcamp/?couponCode=CM251224G1</t>
  </si>
  <si>
    <t>PostgreSQL Bootcamp : Go From Beginner to Advanced, 60+hours</t>
  </si>
  <si>
    <t>Learn with 60+ hours of hands-on practical exercises
Step-by-step walkthrough to perform simple to complex SQL queries
Subqueries, CTEs, Indexes, PL/SQL, PL/pgSQL, Triggers, Cursors, Partitions, Views, JSON, Window Functions, and much more
How to create a database from scratch
Creating and using various Data types
Creating User-defined data types
Table and Column constraints
Understanding, Using, and creating custom Sequences
String Functions
Aggregate Functions
Date/Time Functions with query analysis
Grouping data with group sets
Schemas creations and privileges
Table Partitioning techniques
Exploring Array Functions
In-depth JSON data types and queries
Subqueries
Common Table Expressions (CTEs)
Recursive Common Table Expressions
Advanced Window Functions
Server Programming
Functions with SQL Language
Functions with PL/pgSQL Language
Exploring Stored Procedures
Indexes and queries performance optimizations
Multiple Data Views types and Security
Using Regular Expressions for Text Patterns
Power Text Searches with special data types and indexes
Crosstab Reports with crosstab extensions
Making our database for global languages - Internationalization
psql Utility Commands
Understanding PostgreSQL Internals
Triggers
Using Cursors
Data integrity with Transactions and Savepoints
Managing PostgreSQL security
Extended PostgreSQL echosystem
Analyze sample HR, Stocks, Northwind, Global Trades databases
Practice with huge number of queries
Use SQL to perform data analysis
Confident putting SQL and PostgreSQL on your resume</t>
  </si>
  <si>
    <t>PostgreSQL Bootcamp : Go From Beginner to Advanced, 60+hours | Udemy</t>
  </si>
  <si>
    <t>SQL and PostgreSQL: The Complete Developer's Guide</t>
  </si>
  <si>
    <t>Master the fundamentals of relational databases
Acquire the skills necessary to obtain a database administrator (DBA) or database developer job
Design fast and efficient databases using the latest technologies
Practice your skills with many quizzes, projects, and built-in exercises
Learn and apply multiple database design patterns
Optimize queries for superb read and write efficiency
Understand how PostgreSQL stores information at the hardware level
Connect PostgreSQL to front-end apps using an API
Build common app features, such as a 'like' and 'mention' systems
Handle complex concurrency issues and race conditions
Advance your database designs using schema migrations
See how to use PostgreSQL to speed up automated tests</t>
  </si>
  <si>
    <t>https://www.udemy.com/course/sql-and-postgresql/?couponCode=CM251224G1</t>
  </si>
  <si>
    <t>SQL &amp; Database Design A-Z™: Learn MS SQL Server + PostgreSQL</t>
  </si>
  <si>
    <t>Create basic SQL Queries
Create advanced SQL Queries
Create Left, Right, Inner and Full Outer joins
Create new tables, alter existing tables in Databases
Normalize Databases
Understand database design
Understand first, second and third normal form schemas</t>
  </si>
  <si>
    <t>https://www.udemy.com/course/sqldatabases/?couponCode=CM251224G1</t>
  </si>
  <si>
    <t>Complete Microsoft SQL Server Masterclass:Beginner to Expert</t>
  </si>
  <si>
    <t>Start your career by mastering complete SQL statements in Microsoft SQL Server
Queries and Files Included
Learn different ways to select Records from Tables
Filter the Records of the Table
How to sort the result
GROUP BY Clause
Learn all aggregate Functions
JOINs in table
UNION and UNION ALL
Create Tables
Insert Records
Update data inside table
Modify the column and constraints
The same set of SQL statements can be used with Oracle, PostgreSQL, MySQL, etc</t>
  </si>
  <si>
    <t>Complete Microsoft SQL Server Masterclass:Beginner to Expert | Udemy</t>
  </si>
  <si>
    <t>AWS SAM Framework and AWS Lambda - A Complete Hands-on Guide</t>
  </si>
  <si>
    <t>Develop and deploy AWS Lambda functions properly with the AWS SAM Framework
Learn the fundamentals and advanced concepts of AWS Lambda
Deploy three real world projects that interact with S3, SES, Step Function, SNS, EventBridge, API Gateway, DynamoDB, EC2 &amp; CloudWatch using the SAM Framework
Learn YAML and configure and manage your entire deployment using code</t>
  </si>
  <si>
    <t>AWS SAM Framework and AWS Lambda - A Complete Hands-on Guide | Udemy</t>
  </si>
  <si>
    <t>[NEW] Amazon S3 Deep Dive: The Ultimate Guide to AWS Storage</t>
  </si>
  <si>
    <t>Built by an experience instructor with OVER 12 YEARS EXPERIENCE WITH AWS
Understand the fundamental concepts of Amazon S3 and how to create and manage buckets and objects.
Improve security and compliance by implementing S3 encryption, access controls, and monitoring.
Integrate S3 with other AWS services such as EC2, Lambda, and CloudFront for enhanced functionality.
Apply advanced optimization techniques such as lifecycle policies, object tiering, and data compression to achieve even better results with Amazon S3.
Learn alongside of an instructor that has earned 9 x AWS CERTIFICATIONS</t>
  </si>
  <si>
    <t>[NEW] Amazon S3 Deep Dive: The Ultimate Guide to AWS Storage | Udemy</t>
  </si>
  <si>
    <t>AWS: EC2, S3, RDS, CloudFront, Lambda, IAM, CI/CD</t>
  </si>
  <si>
    <t>AWS CloudFormation Master Class v2 [2024]</t>
  </si>
  <si>
    <t>YAML
Parameters
SSM Parameter Types
Resources
Advanced Resources (DependsOn, DeletionPolicy, UpdateReplacePolicy, CreationPolicy, UpdatePolicy)
Mappings
Pseudo Parameters
Outputs &amp; Cross Stack References
Conditions
Rules
Metadata
CFN Init
Drift
Nested Stacks</t>
  </si>
  <si>
    <t>Master AWS CloudFormation: Deploy Your Own Infastructure | Udemy</t>
  </si>
  <si>
    <t>Managing EC2 and VPC: AWS with Python and Boto3 Series</t>
  </si>
  <si>
    <t>You'll be able to implement any sort of infrastructure on AWS with Python using VPCs, Subnets and EC2s!
You'll learn how to code against AWS API using Python and Boto3!
You'll learn how to launch EC2 Instances on AWS using Python and Boto3!
You'll learn how to isolate and control your own infrastructure with Python using Route Tables, Internet Gateways, Security Groups and Rules!
You'll have very good understanding of VPC concepts like Subnets, Route Tables and Internet Gateways by putting all into real-world practice with Python code!
You'll be confident to work with AWS APIs using Python for any kind of AWS Resource on VPC and EC2 Instances!
You'll learn how to read and code against an API documentation!
You'll be able to launch your own infrastructure on AWS without even signing-in to AWS!</t>
  </si>
  <si>
    <t>https://www.udemy.com/course/aws-with-python-and-boto3-managing-ec2-and-vpc/?couponCode=CM251224G1</t>
  </si>
  <si>
    <t>Developing with S3: AWS with Python and Boto3 Series</t>
  </si>
  <si>
    <t>You'll be able to host your own website with S3!
You'll learn and be able to use a real domain of yours using Route53 on S3 to route traffic to your website!
You'll be able to upload any-size file to S3 by implementing Multi-Part Upload!
You'll learn how to create buckets, upload files, apply lifecycle policies and much more!
You'll be able to implement any sort of infrastructure with S3 on AWS with Python!
You'll learn how to code against AWS API using Python and Boto3!
You'll be confident to work with AWS APIs using Python for any kind of AWS Resource on S3!</t>
  </si>
  <si>
    <t>https://www.udemy.com/course/aws-with-python-and-boto3-implementing-solutions-with-s3/?couponCode=CM251224G1</t>
  </si>
  <si>
    <t>AWS Serverless REST APIs for Java Developers. CI/CD included</t>
  </si>
  <si>
    <t>REST API and its design principles
Building Serverless REST APIs in AWS with Java
Amazon API Gateway
Build and deploy API with AWS SAM
AWS Lambda
Implement User Sign-up, Sign-in and Conformation features
Amazon Cognito
Learn to use Cognito Authorizers
Implement custom Lambda Authorizer to validate JWT
Learn to Encrypt &amp; Decrypt sensitive environment variables</t>
  </si>
  <si>
    <t>https://www.udemy.com/course/aws-serverless-rest-apis-for-java-developers/?couponCode=CM251224G1</t>
  </si>
  <si>
    <t>Devops Fundamentals - CI/CD with AWS +Docker+Ansible+Jenkins</t>
  </si>
  <si>
    <t>You will know how to Practically Implement Continuous Integration &amp; Delivery for any Projects
Understand working with AWS Cloud Linux Servers from Scratch to Setup Deployment
Real time hands on Deploying Apps into Dockerized Containers by setting up Dockers in AWS
Knowledge on Ansible tool to automate the Scripts/tasks in any Linux Servers
Ability to achieve Continuous Integration with Ansible + Docker + Jenkins + GIT
Git Web Hook Integration with Jenkins to achieve Continuous Integration Solution</t>
  </si>
  <si>
    <t>https://www.udemy.com/course/devops-fundamentals-aws/?couponCode=CM251224G1</t>
  </si>
  <si>
    <t>Learn AWS Identity Management with AWS IAM, SSO &amp; Federation</t>
  </si>
  <si>
    <t>Discover the fundamentals of AWS Identity and Access Management, including Users, Groups, Role and Policies
Deep-dive into AWS Organizations and Service Control Policies (SCPs)
Learn everything there is to know about Federation with AWS Directory Services, IAM, AWS Single Sign-On and Amazon Cognito
Gain hands-on experience working with Identity Security on AWS with basic to advanced scenarios</t>
  </si>
  <si>
    <t>https://www.udemy.com/course/aws-iam-aws-organizations-aws-sso-aws-directory-service-federation/?couponCode=CM251224G1</t>
  </si>
  <si>
    <t>API Testing with Python 3 &amp; PyTest, Backend Automation 2024</t>
  </si>
  <si>
    <t>How to write API automation (backend automation) using Python 3
How to validate API response
How to build automation framework
SQL Crash Course
How to validate database
How to generate reports for your tests (pytest-html, Allure, jUnit)
How to create a real eCommerce WordPress site locally
How to run tests in Docker container
How to use PyTest (most popular unit testing framework)</t>
  </si>
  <si>
    <t>https://www.udemy.com/course/backend-api-testing-with-python/?couponCode=CM251224G1</t>
  </si>
  <si>
    <t>React &amp; Django Full Stack: web app, backend API, mobile apps</t>
  </si>
  <si>
    <t>Making a Single page app with React
Creating RESTfull API with Django
Mobile apps on both Android and iOS</t>
  </si>
  <si>
    <t>https://www.udemy.com/course/react-django-full-stack/?couponCode=CM251224G1</t>
  </si>
  <si>
    <t>Backend with Next.js (API, Auth, Mobile–Web integration)</t>
  </si>
  <si>
    <t>Build a Backend REST API with Python &amp; Django - Advanced</t>
  </si>
  <si>
    <t>Setting up a local development server with Docker
Writing a Python project using Test Driven Development
Building a REST API with advanced features such as uploading and viewing images
Creating a backend that can be used a base for your future projects or MVP
Hands on experience applying best practice principles such as PEP-8 and unit tests
Configure Travis-CI to automate code checks</t>
  </si>
  <si>
    <t>https://www.udemy.com/course/django-python-advanced/?couponCode=CM251224G1</t>
  </si>
  <si>
    <t>Python REST APIs with Flask, Docker, MongoDB, and AWS DevOps</t>
  </si>
  <si>
    <t>Have a deeper knowledge and understanding of core elements of web development using Python
Understand and be able to use the flask framework
Plan, build, setup and deploy a RESTful API to an Amazon EC2 instance
Make use of a NoSQL (MongoDB) Database
Build a machine-learning API using Tensorflow for image recognition</t>
  </si>
  <si>
    <t>https://www.udemy.com/course/python-rest-apis-with-flask-docker-mongodb-and-aws-devops/?couponCode=CM251224G1</t>
  </si>
  <si>
    <t>Database Administration</t>
  </si>
  <si>
    <t>Microsoft Excel Data Analysis and Dashboard Reporting</t>
  </si>
  <si>
    <t>Understand and Identify the principles of data analysis
Effectively summarize and present data clearly
Use effective design principles when creating and presenting data
Take full advantage of the built in tools Microsoft Excel offers in order to analyze and build dashboard reports
Build interactive dashboard reports
Analyze Excel data using Excels TEXT based Functions
Data Mine using Excels Array Functions
Build Interactive Dashboard Reports with Buttons and Drop Down Menus
Streamline and Analyze Data with Excel PivotTables and Pivot Charts</t>
  </si>
  <si>
    <t>https://www.udemy.com/course/microsoft-excel-data-analysis-and-dashboard-reporting/?couponCode=CM251224G1</t>
  </si>
  <si>
    <t>Database Engineer/DBA - (PostgreSQL, IBM-DB2, MariaDB,NoSQL)</t>
  </si>
  <si>
    <t>ThangMV</t>
  </si>
  <si>
    <t>DuyPX</t>
  </si>
  <si>
    <t>TrungND</t>
  </si>
  <si>
    <t>SơnMX</t>
  </si>
  <si>
    <t>PhươngNM</t>
  </si>
  <si>
    <t>x</t>
  </si>
  <si>
    <t>Sum</t>
  </si>
  <si>
    <t>Member đăng ký</t>
  </si>
  <si>
    <t>DuyPX
TrungND
ThangMV</t>
  </si>
  <si>
    <t>TrungND
PhươngNM
ThangMV</t>
  </si>
  <si>
    <t>DuyPX
SơnMX
PhươngNM</t>
  </si>
  <si>
    <t>DuyPX
PhươngNM</t>
  </si>
  <si>
    <t>DuyPX
TrungND
PhươngNM
ThangMV</t>
  </si>
  <si>
    <t>Thời gian Video khóa học</t>
  </si>
  <si>
    <t>Tổng thời gian</t>
  </si>
  <si>
    <t>Chọn training</t>
  </si>
  <si>
    <t>Y</t>
  </si>
  <si>
    <t>Thời gian</t>
  </si>
  <si>
    <t>Thời gian Est memo tìm hiểu
(30% thời gian Video)</t>
  </si>
  <si>
    <t>Phạm Xuân Duy</t>
  </si>
  <si>
    <t>Mai Xuân Sơn</t>
  </si>
  <si>
    <t>Nguyễn Đức Trung</t>
  </si>
  <si>
    <t>Nguyễn Minh Phương</t>
  </si>
  <si>
    <t>Mai Văn Thắng</t>
  </si>
  <si>
    <t>Phản hồi từ PM</t>
  </si>
  <si>
    <t>Lưu Đạt Minh Tuấn</t>
  </si>
  <si>
    <t>Dự án đang sử dụng full công số do khách hàng add thêm task</t>
  </si>
  <si>
    <t>Dự án hiện tại</t>
  </si>
  <si>
    <t>CT_NEO</t>
  </si>
  <si>
    <t>CT_NEO
Grandit</t>
  </si>
  <si>
    <t>Cắt công số Grandit do ít việc</t>
  </si>
  <si>
    <t>Dynamic</t>
  </si>
  <si>
    <t>Rảnh từ tháng 1</t>
  </si>
  <si>
    <t>Thời gian training / ngày</t>
  </si>
  <si>
    <t>Nhân sự</t>
  </si>
  <si>
    <t xml:space="preserve">Link truy cập : </t>
  </si>
  <si>
    <t>https://luvina.udemy.com/organization/home/</t>
  </si>
  <si>
    <t>email</t>
  </si>
  <si>
    <t>Password</t>
  </si>
  <si>
    <t>Người sử dụng</t>
  </si>
  <si>
    <t>Luvina@2025</t>
  </si>
  <si>
    <t>Thời gian sử dụng</t>
  </si>
  <si>
    <t>8h30~17h30</t>
  </si>
  <si>
    <t>TrungNĐ</t>
  </si>
  <si>
    <t>ThắngMV</t>
  </si>
  <si>
    <t>8h30~12h00</t>
  </si>
  <si>
    <t>13h00~17h30</t>
  </si>
  <si>
    <t>STT</t>
  </si>
  <si>
    <t>MinhLĐT</t>
  </si>
  <si>
    <t>lnd8@luvina.net</t>
  </si>
  <si>
    <t>lnd9@luvina.net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</si>
</sst>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color theme="1"/>
      <name val="Aptos Narrow"/>
      <family val="2"/>
      <charset val="128"/>
      <scheme val="minor"/>
    </font>
    <font>
      <u/>
      <sz val="11"/>
      <color theme="10"/>
      <name val="Aptos Narrow"/>
      <family val="2"/>
      <scheme val="minor"/>
    </font>
    <font>
      <sz val="11"/>
      <color rgb="FF9C5700"/>
      <name val="Aptos Narrow"/>
      <family val="2"/>
      <charset val="128"/>
      <scheme val="minor"/>
    </font>
    <font>
      <b/>
      <sz val="11"/>
      <color rgb="FFFA7D00"/>
      <name val="Aptos Narrow"/>
      <family val="2"/>
      <charset val="128"/>
      <scheme val="minor"/>
    </font>
    <font>
      <sz val="11"/>
      <color theme="0"/>
      <name val="Aptos Narrow"/>
      <family val="2"/>
      <charset val="128"/>
      <scheme val="minor"/>
    </font>
    <font>
      <b/>
      <sz val="11"/>
      <name val="Aptos Narrow"/>
      <family val="2"/>
      <scheme val="minor"/>
    </font>
    <font>
      <sz val="11"/>
      <name val="Aptos Narrow"/>
      <family val="2"/>
      <scheme val="minor"/>
    </font>
    <font>
      <u/>
      <sz val="11"/>
      <name val="Aptos Narrow"/>
      <family val="2"/>
      <scheme val="minor"/>
    </font>
    <font>
      <b/>
      <sz val="11"/>
      <color theme="5"/>
      <name val="Aptos Narrow"/>
      <family val="2"/>
      <scheme val="minor"/>
    </font>
    <font>
      <b/>
      <sz val="12"/>
      <color theme="0"/>
      <name val="Times New Roman"/>
      <family val="1"/>
    </font>
    <font>
      <sz val="12"/>
      <color rgb="FF3F4350"/>
      <name val="Times New Roman"/>
      <family val="1"/>
    </font>
    <font>
      <sz val="12"/>
      <color theme="1"/>
      <name val="Times New Roman"/>
      <family val="1"/>
    </font>
    <font>
      <sz val="11"/>
      <color rgb="FF3F4350"/>
      <name val="Open Sans"/>
      <family val="2"/>
    </font>
  </fonts>
  <fills count="10">
    <fill>
      <patternFill patternType="none"/>
    </fill>
    <fill>
      <patternFill patternType="gray125"/>
    </fill>
    <fill>
      <patternFill patternType="solid">
        <fgColor rgb="FFFFEB9C"/>
      </patternFill>
    </fill>
    <fill>
      <patternFill patternType="solid">
        <fgColor rgb="FFF2F2F2"/>
      </patternFill>
    </fill>
    <fill>
      <patternFill patternType="solid">
        <fgColor theme="4"/>
      </patternFill>
    </fill>
    <fill>
      <patternFill patternType="solid">
        <fgColor theme="4" tint="0.59999389629810485"/>
        <bgColor indexed="65"/>
      </patternFill>
    </fill>
    <fill>
      <patternFill patternType="solid">
        <fgColor theme="5" tint="0.39997558519241921"/>
        <bgColor indexed="65"/>
      </patternFill>
    </fill>
    <fill>
      <patternFill patternType="solid">
        <fgColor rgb="FF99CCFF"/>
        <bgColor indexed="64"/>
      </patternFill>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7">
    <xf numFmtId="0" fontId="0" fillId="0" borderId="0"/>
    <xf numFmtId="0" fontId="2" fillId="0" borderId="0" applyNumberFormat="0" applyFill="0" applyBorder="0" applyAlignment="0" applyProtection="0"/>
    <xf numFmtId="0" fontId="3" fillId="2" borderId="0" applyNumberFormat="0" applyBorder="0" applyAlignment="0" applyProtection="0"/>
    <xf numFmtId="0" fontId="4" fillId="3" borderId="1" applyNumberFormat="0" applyAlignment="0" applyProtection="0"/>
    <xf numFmtId="0" fontId="5"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cellStyleXfs>
  <cellXfs count="40">
    <xf numFmtId="0" fontId="0" fillId="0" borderId="0" xfId="0"/>
    <xf numFmtId="0" fontId="0" fillId="0" borderId="0" xfId="0" applyAlignment="1">
      <alignment horizontal="center" vertical="center"/>
    </xf>
    <xf numFmtId="0" fontId="6" fillId="7" borderId="2" xfId="0" applyFont="1" applyFill="1" applyBorder="1" applyAlignment="1">
      <alignment vertical="center" wrapText="1"/>
    </xf>
    <xf numFmtId="0" fontId="6" fillId="0" borderId="2" xfId="0" applyFont="1" applyBorder="1" applyAlignment="1">
      <alignment vertical="center" wrapText="1"/>
    </xf>
    <xf numFmtId="0" fontId="7" fillId="0" borderId="2" xfId="0" applyFont="1" applyBorder="1" applyAlignment="1">
      <alignment vertical="center" wrapText="1"/>
    </xf>
    <xf numFmtId="0" fontId="8" fillId="0" borderId="2" xfId="1" applyFont="1" applyFill="1" applyBorder="1" applyAlignment="1">
      <alignment vertical="center" wrapText="1"/>
    </xf>
    <xf numFmtId="0" fontId="7" fillId="0" borderId="2" xfId="0" applyFont="1" applyBorder="1" applyAlignment="1">
      <alignment horizontal="center" vertical="center"/>
    </xf>
    <xf numFmtId="0" fontId="0" fillId="0" borderId="2" xfId="0" applyBorder="1" applyAlignment="1">
      <alignment horizontal="center" vertical="center"/>
    </xf>
    <xf numFmtId="0" fontId="6" fillId="8" borderId="2" xfId="0" applyFont="1" applyFill="1" applyBorder="1" applyAlignment="1">
      <alignment vertical="center" wrapText="1"/>
    </xf>
    <xf numFmtId="0" fontId="7" fillId="8" borderId="2" xfId="0" applyFont="1" applyFill="1" applyBorder="1" applyAlignment="1">
      <alignment vertical="center" wrapText="1"/>
    </xf>
    <xf numFmtId="0" fontId="8" fillId="8" borderId="2" xfId="1" applyFont="1" applyFill="1" applyBorder="1" applyAlignment="1">
      <alignment vertical="center" wrapText="1"/>
    </xf>
    <xf numFmtId="0" fontId="7" fillId="8" borderId="2" xfId="0" applyFont="1" applyFill="1" applyBorder="1" applyAlignment="1">
      <alignment horizontal="center" vertical="center"/>
    </xf>
    <xf numFmtId="0" fontId="0" fillId="9" borderId="2" xfId="0" applyFill="1" applyBorder="1" applyAlignment="1">
      <alignment horizontal="center" vertical="center"/>
    </xf>
    <xf numFmtId="0" fontId="7" fillId="8" borderId="2" xfId="0" applyFont="1" applyFill="1" applyBorder="1" applyAlignment="1">
      <alignment horizontal="center" vertical="center" wrapText="1"/>
    </xf>
    <xf numFmtId="0" fontId="3" fillId="2" borderId="2" xfId="2" applyBorder="1" applyAlignment="1">
      <alignment horizontal="center" vertical="center" wrapText="1"/>
    </xf>
    <xf numFmtId="0" fontId="7" fillId="0" borderId="2" xfId="0" applyFont="1" applyBorder="1" applyAlignment="1">
      <alignment horizontal="center" vertical="center" wrapText="1"/>
    </xf>
    <xf numFmtId="0" fontId="7" fillId="0" borderId="2" xfId="1" applyFont="1" applyFill="1" applyBorder="1" applyAlignment="1">
      <alignment horizontal="center" vertical="center" wrapText="1"/>
    </xf>
    <xf numFmtId="0" fontId="4" fillId="3" borderId="1" xfId="3" applyAlignment="1">
      <alignment horizontal="center" vertical="center" wrapText="1"/>
    </xf>
    <xf numFmtId="0" fontId="9" fillId="0" borderId="2" xfId="1" applyFont="1" applyFill="1" applyBorder="1" applyAlignment="1">
      <alignment horizontal="center" vertical="center" wrapText="1"/>
    </xf>
    <xf numFmtId="0" fontId="9" fillId="8" borderId="2" xfId="1" applyFont="1" applyFill="1" applyBorder="1" applyAlignment="1">
      <alignment horizontal="center" vertical="center" wrapText="1"/>
    </xf>
    <xf numFmtId="0" fontId="1" fillId="6" borderId="2" xfId="6" applyBorder="1" applyAlignment="1">
      <alignment horizontal="center" vertical="center" wrapText="1"/>
    </xf>
    <xf numFmtId="0" fontId="1" fillId="6" borderId="2" xfId="6" applyBorder="1" applyAlignment="1">
      <alignment horizontal="center" vertical="center"/>
    </xf>
    <xf numFmtId="0" fontId="6" fillId="7" borderId="3" xfId="0" applyFont="1" applyFill="1" applyBorder="1" applyAlignment="1">
      <alignment horizontal="center" vertical="center" wrapText="1"/>
    </xf>
    <xf numFmtId="0" fontId="1" fillId="5" borderId="2" xfId="5" applyBorder="1" applyAlignment="1">
      <alignment horizontal="center" vertical="center" wrapText="1"/>
    </xf>
    <xf numFmtId="0" fontId="0" fillId="0" borderId="2" xfId="0" applyBorder="1"/>
    <xf numFmtId="0" fontId="10" fillId="4" borderId="2" xfId="4" applyFont="1" applyBorder="1" applyAlignment="1">
      <alignment horizontal="center" vertical="center"/>
    </xf>
    <xf numFmtId="0" fontId="10" fillId="4" borderId="2" xfId="4" applyFont="1" applyBorder="1" applyAlignment="1">
      <alignment horizontal="center" vertical="center" wrapText="1"/>
    </xf>
    <xf numFmtId="0" fontId="11" fillId="0" borderId="2" xfId="0" applyFont="1" applyBorder="1" applyAlignment="1">
      <alignment vertical="center"/>
    </xf>
    <xf numFmtId="0" fontId="12" fillId="0" borderId="2" xfId="0" applyFont="1" applyBorder="1" applyAlignment="1">
      <alignment horizontal="center" vertical="center"/>
    </xf>
    <xf numFmtId="0" fontId="12" fillId="0" borderId="2" xfId="0" applyFont="1" applyBorder="1" applyAlignment="1">
      <alignment vertical="center"/>
    </xf>
    <xf numFmtId="0" fontId="11" fillId="0" borderId="2" xfId="0" applyFont="1" applyBorder="1" applyAlignment="1">
      <alignment horizontal="center" vertical="center"/>
    </xf>
    <xf numFmtId="0" fontId="11" fillId="0" borderId="2" xfId="0" applyFont="1" applyBorder="1" applyAlignment="1">
      <alignment horizontal="center" vertical="center" wrapText="1"/>
    </xf>
    <xf numFmtId="0" fontId="0" fillId="0" borderId="6" xfId="0" applyBorder="1"/>
    <xf numFmtId="0" fontId="0" fillId="0" borderId="7" xfId="0" applyBorder="1"/>
    <xf numFmtId="0" fontId="2" fillId="0" borderId="6" xfId="1" applyFill="1" applyBorder="1"/>
    <xf numFmtId="0" fontId="13" fillId="0" borderId="6" xfId="0" applyFont="1" applyBorder="1"/>
    <xf numFmtId="0" fontId="0" fillId="7" borderId="2" xfId="0" applyFill="1" applyBorder="1"/>
    <xf numFmtId="0" fontId="0" fillId="0" borderId="8" xfId="0" applyBorder="1"/>
    <xf numFmtId="0" fontId="6" fillId="7" borderId="4" xfId="0" applyFont="1" applyFill="1" applyBorder="1" applyAlignment="1">
      <alignment horizontal="center" vertical="center" wrapText="1"/>
    </xf>
    <xf numFmtId="0" fontId="6" fillId="7" borderId="5" xfId="0" applyFont="1" applyFill="1" applyBorder="1" applyAlignment="1">
      <alignment horizontal="center" vertical="center" wrapText="1"/>
    </xf>
  </cellXfs>
  <cellStyles count="7">
    <cellStyle name="40% - Accent1" xfId="5" builtinId="31"/>
    <cellStyle name="60% - Accent2" xfId="6" builtinId="36"/>
    <cellStyle name="Accent1" xfId="4" builtinId="29"/>
    <cellStyle name="Calculation" xfId="3" builtinId="22"/>
    <cellStyle name="Hyperlink" xfId="1" builtinId="8"/>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nd@luvina.net" TargetMode="External"/><Relationship Id="rId2" Type="http://schemas.openxmlformats.org/officeDocument/2006/relationships/hyperlink" Target="mailto:lnd@luvina.net" TargetMode="External"/><Relationship Id="rId1" Type="http://schemas.openxmlformats.org/officeDocument/2006/relationships/hyperlink" Target="mailto:lnd@luvina.net"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udemy.com/course/the-complete-sql-bootcamp/?couponCode=CM251224G1" TargetMode="External"/><Relationship Id="rId2" Type="http://schemas.openxmlformats.org/officeDocument/2006/relationships/hyperlink" Target="https://www.udemy.com/course/typescript-from-zero-to-expert/?couponCode=CM251224G1" TargetMode="External"/><Relationship Id="rId1" Type="http://schemas.openxmlformats.org/officeDocument/2006/relationships/hyperlink" Target="https://www.udemy.com/course/nextjs-react-the-complete-guide/?couponCode=CM251224G1" TargetMode="External"/><Relationship Id="rId5" Type="http://schemas.openxmlformats.org/officeDocument/2006/relationships/hyperlink" Target="https://www.udemy.com/course/python-rest-apis-with-flask-docker-mongodb-and-aws-devops/?couponCode=CM251224G1" TargetMode="External"/><Relationship Id="rId4" Type="http://schemas.openxmlformats.org/officeDocument/2006/relationships/hyperlink" Target="https://www.udemy.com/course/devops-fundamentals-aws/?couponCode=CM251224G1"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udemy.com/course/pro-javascript-backend-developer/?couponCode=CM251224G1" TargetMode="External"/><Relationship Id="rId18" Type="http://schemas.openxmlformats.org/officeDocument/2006/relationships/hyperlink" Target="https://www.udemy.com/course/sql-and-postgresql/?couponCode=CM251224G1" TargetMode="External"/><Relationship Id="rId26" Type="http://schemas.openxmlformats.org/officeDocument/2006/relationships/hyperlink" Target="https://www.udemy.com/course/aws-serverless-rest-apis-for-java-developers/?couponCode=CM251224G1" TargetMode="External"/><Relationship Id="rId3" Type="http://schemas.openxmlformats.org/officeDocument/2006/relationships/hyperlink" Target="https://www.udemy.com/course/nextjs-testing/?couponCode=CM251224G1" TargetMode="External"/><Relationship Id="rId21" Type="http://schemas.openxmlformats.org/officeDocument/2006/relationships/hyperlink" Target="https://www.udemy.com/course/aws-sam-framework-and-aws-lambda/?couponCode=CM251224G1" TargetMode="External"/><Relationship Id="rId7" Type="http://schemas.openxmlformats.org/officeDocument/2006/relationships/hyperlink" Target="https://www.udemy.com/course/introduction-typescript-development/?couponCode=CM251224G1" TargetMode="External"/><Relationship Id="rId12" Type="http://schemas.openxmlformats.org/officeDocument/2006/relationships/hyperlink" Target="https://www.udemy.com/course/the-complete-web-development-bootcamp/?couponCode=CM251224G1" TargetMode="External"/><Relationship Id="rId17" Type="http://schemas.openxmlformats.org/officeDocument/2006/relationships/hyperlink" Target="https://www.udemy.com/course/postgresqlmasterclass/?couponCode=CM251224G1" TargetMode="External"/><Relationship Id="rId25" Type="http://schemas.openxmlformats.org/officeDocument/2006/relationships/hyperlink" Target="https://www.udemy.com/course/aws-with-python-and-boto3-implementing-solutions-with-s3/?couponCode=CM251224G1" TargetMode="External"/><Relationship Id="rId33" Type="http://schemas.openxmlformats.org/officeDocument/2006/relationships/hyperlink" Target="https://www.udemy.com/course/microsoft-excel-data-analysis-and-dashboard-reporting/?couponCode=CM251224G1" TargetMode="External"/><Relationship Id="rId2" Type="http://schemas.openxmlformats.org/officeDocument/2006/relationships/hyperlink" Target="https://www.udemy.com/course/nextjs-react-the-complete-guide/?couponCode=CM251224G1" TargetMode="External"/><Relationship Id="rId16" Type="http://schemas.openxmlformats.org/officeDocument/2006/relationships/hyperlink" Target="https://www.udemy.com/course/the-complete-sql-bootcamp/?couponCode=CM251224G1" TargetMode="External"/><Relationship Id="rId20" Type="http://schemas.openxmlformats.org/officeDocument/2006/relationships/hyperlink" Target="https://www.udemy.com/course/complete-microsoft-sql-masterclass-beginner-advanced/?couponCode=CM251224G1" TargetMode="External"/><Relationship Id="rId29" Type="http://schemas.openxmlformats.org/officeDocument/2006/relationships/hyperlink" Target="https://www.udemy.com/course/backend-api-testing-with-python/?couponCode=CM251224G1" TargetMode="External"/><Relationship Id="rId1" Type="http://schemas.openxmlformats.org/officeDocument/2006/relationships/hyperlink" Target="https://www.udemy.com/course/solidity-ethereum-in-react-next-js-the-complete-guide/?couponCode=CM251224G1" TargetMode="External"/><Relationship Id="rId6" Type="http://schemas.openxmlformats.org/officeDocument/2006/relationships/hyperlink" Target="https://www.udemy.com/course/typescript-from-zero-to-expert/?couponCode=CM251224G1" TargetMode="External"/><Relationship Id="rId11" Type="http://schemas.openxmlformats.org/officeDocument/2006/relationships/hyperlink" Target="https://www.udemy.com/course/the-complete-javascript-course/?couponCode=CM251224G1" TargetMode="External"/><Relationship Id="rId24" Type="http://schemas.openxmlformats.org/officeDocument/2006/relationships/hyperlink" Target="https://www.udemy.com/course/aws-with-python-and-boto3-managing-ec2-and-vpc/?couponCode=CM251224G1" TargetMode="External"/><Relationship Id="rId32" Type="http://schemas.openxmlformats.org/officeDocument/2006/relationships/hyperlink" Target="https://www.udemy.com/course/python-rest-apis-with-flask-docker-mongodb-and-aws-devops/?couponCode=CM251224G1" TargetMode="External"/><Relationship Id="rId5" Type="http://schemas.openxmlformats.org/officeDocument/2006/relationships/hyperlink" Target="https://www.udemy.com/course/next-js-the-complete-developers-guide/?couponCode=CM251224G1" TargetMode="External"/><Relationship Id="rId15" Type="http://schemas.openxmlformats.org/officeDocument/2006/relationships/hyperlink" Target="https://www.udemy.com/course/the-best-javascript-course/?couponCode=CM251224G1" TargetMode="External"/><Relationship Id="rId23" Type="http://schemas.openxmlformats.org/officeDocument/2006/relationships/hyperlink" Target="https://www.udemy.com/course/aws-cloudformation-master-class/?couponCode=CM251224G1" TargetMode="External"/><Relationship Id="rId28" Type="http://schemas.openxmlformats.org/officeDocument/2006/relationships/hyperlink" Target="https://www.udemy.com/course/aws-iam-aws-organizations-aws-sso-aws-directory-service-federation/?couponCode=CM251224G1" TargetMode="External"/><Relationship Id="rId10" Type="http://schemas.openxmlformats.org/officeDocument/2006/relationships/hyperlink" Target="https://www.udemy.com/course/typescript-the-complete-developers-guide/?couponCode=CM251224G1" TargetMode="External"/><Relationship Id="rId19" Type="http://schemas.openxmlformats.org/officeDocument/2006/relationships/hyperlink" Target="https://www.udemy.com/course/sqldatabases/?couponCode=CM251224G1" TargetMode="External"/><Relationship Id="rId31" Type="http://schemas.openxmlformats.org/officeDocument/2006/relationships/hyperlink" Target="https://www.udemy.com/course/django-python-advanced/?couponCode=CM251224G1" TargetMode="External"/><Relationship Id="rId4" Type="http://schemas.openxmlformats.org/officeDocument/2006/relationships/hyperlink" Target="https://www.udemy.com/course/the-ultimate-react-course/?couponCode=CM251224G1" TargetMode="External"/><Relationship Id="rId9" Type="http://schemas.openxmlformats.org/officeDocument/2006/relationships/hyperlink" Target="https://www.udemy.com/course/best-practices-advanced-typescript-tips-for-react-devs/?couponCode=CM251224G1" TargetMode="External"/><Relationship Id="rId14" Type="http://schemas.openxmlformats.org/officeDocument/2006/relationships/hyperlink" Target="https://www.udemy.com/course/javascript-for-beginners-introduction-learn-fast-easy/?couponCode=CM251224G1" TargetMode="External"/><Relationship Id="rId22" Type="http://schemas.openxmlformats.org/officeDocument/2006/relationships/hyperlink" Target="https://www.udemy.com/course/amazon-s3-deep-dive/?couponCode=CM251224G1" TargetMode="External"/><Relationship Id="rId27" Type="http://schemas.openxmlformats.org/officeDocument/2006/relationships/hyperlink" Target="https://www.udemy.com/course/devops-fundamentals-aws/?couponCode=CM251224G1" TargetMode="External"/><Relationship Id="rId30" Type="http://schemas.openxmlformats.org/officeDocument/2006/relationships/hyperlink" Target="https://www.udemy.com/course/react-django-full-stack/?couponCode=CM251224G1" TargetMode="External"/><Relationship Id="rId8" Type="http://schemas.openxmlformats.org/officeDocument/2006/relationships/hyperlink" Target="https://www.udemy.com/course/practical-typescript/?couponCode=CM251224G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6C17C-7A61-4675-ABBC-C20434B5D121}">
  <dimension ref="A2:E7"/>
  <sheetViews>
    <sheetView tabSelected="1" workbookViewId="0">
      <selection activeCell="B7" sqref="B7"/>
    </sheetView>
  </sheetViews>
  <sheetFormatPr defaultRowHeight="15" x14ac:dyDescent="0.25"/>
  <cols>
    <col min="2" max="4" width="16.140625" customWidth="1"/>
    <col min="5" max="5" width="18.28515625" bestFit="1" customWidth="1"/>
  </cols>
  <sheetData>
    <row r="2" spans="1:5" x14ac:dyDescent="0.25">
      <c r="B2" t="s">
        <v>146</v>
      </c>
      <c r="D2" t="s">
        <v>147</v>
      </c>
    </row>
    <row r="4" spans="1:5" x14ac:dyDescent="0.25">
      <c r="A4" s="36" t="s">
        <v>158</v>
      </c>
      <c r="B4" s="36" t="s">
        <v>148</v>
      </c>
      <c r="C4" s="36" t="s">
        <v>149</v>
      </c>
      <c r="D4" s="36" t="s">
        <v>150</v>
      </c>
      <c r="E4" s="36" t="s">
        <v>152</v>
      </c>
    </row>
    <row r="5" spans="1:5" ht="16.5" x14ac:dyDescent="0.3">
      <c r="A5" s="32">
        <v>1</v>
      </c>
      <c r="B5" s="34" t="s">
        <v>160</v>
      </c>
      <c r="C5" s="35" t="s">
        <v>151</v>
      </c>
      <c r="D5" s="32" t="s">
        <v>159</v>
      </c>
      <c r="E5" s="32" t="s">
        <v>153</v>
      </c>
    </row>
    <row r="6" spans="1:5" ht="16.5" x14ac:dyDescent="0.3">
      <c r="A6" s="33">
        <v>2</v>
      </c>
      <c r="B6" s="34" t="s">
        <v>161</v>
      </c>
      <c r="C6" s="35" t="s">
        <v>151</v>
      </c>
      <c r="D6" s="33" t="s">
        <v>154</v>
      </c>
      <c r="E6" s="33" t="s">
        <v>157</v>
      </c>
    </row>
    <row r="7" spans="1:5" ht="16.5" x14ac:dyDescent="0.3">
      <c r="A7" s="37">
        <v>3</v>
      </c>
      <c r="B7" s="34" t="s">
        <v>161</v>
      </c>
      <c r="C7" s="35" t="s">
        <v>151</v>
      </c>
      <c r="D7" s="37" t="s">
        <v>155</v>
      </c>
      <c r="E7" s="37" t="s">
        <v>156</v>
      </c>
    </row>
  </sheetData>
  <hyperlinks>
    <hyperlink ref="B5" r:id="rId1" display="mailto:lnd@luvina.net" xr:uid="{DC30918A-F832-4396-ADC1-565DABFF82E1}"/>
    <hyperlink ref="B6" r:id="rId2" display="mailto:lnd@luvina.net" xr:uid="{06A0C008-BC42-4580-B527-8905398AB332}"/>
    <hyperlink ref="B7" r:id="rId3" display="mailto:lnd@luvina.net" xr:uid="{E733FC0A-8C9B-47F5-A8F3-F7C93435EB1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86AE6-A2F6-44A4-B0C8-27C5444D7F0E}">
  <dimension ref="B1:E7"/>
  <sheetViews>
    <sheetView workbookViewId="0">
      <selection activeCell="D7" sqref="D7"/>
    </sheetView>
  </sheetViews>
  <sheetFormatPr defaultRowHeight="15" x14ac:dyDescent="0.25"/>
  <cols>
    <col min="2" max="2" width="19.85546875" bestFit="1" customWidth="1"/>
    <col min="3" max="3" width="19.85546875" customWidth="1"/>
    <col min="4" max="4" width="15.28515625" customWidth="1"/>
    <col min="5" max="5" width="56.85546875" bestFit="1" customWidth="1"/>
  </cols>
  <sheetData>
    <row r="1" spans="2:5" ht="31.5" x14ac:dyDescent="0.25">
      <c r="B1" s="25" t="s">
        <v>145</v>
      </c>
      <c r="C1" s="25" t="s">
        <v>138</v>
      </c>
      <c r="D1" s="26" t="s">
        <v>144</v>
      </c>
      <c r="E1" s="25" t="s">
        <v>135</v>
      </c>
    </row>
    <row r="2" spans="2:5" ht="15.75" x14ac:dyDescent="0.25">
      <c r="B2" s="27" t="s">
        <v>130</v>
      </c>
      <c r="C2" s="30" t="s">
        <v>139</v>
      </c>
      <c r="D2" s="28">
        <v>0</v>
      </c>
      <c r="E2" s="29" t="s">
        <v>137</v>
      </c>
    </row>
    <row r="3" spans="2:5" ht="15.75" x14ac:dyDescent="0.25">
      <c r="B3" s="29" t="s">
        <v>131</v>
      </c>
      <c r="C3" s="30" t="s">
        <v>139</v>
      </c>
      <c r="D3" s="28">
        <v>0</v>
      </c>
      <c r="E3" s="29" t="s">
        <v>137</v>
      </c>
    </row>
    <row r="4" spans="2:5" ht="31.5" x14ac:dyDescent="0.25">
      <c r="B4" s="29" t="s">
        <v>132</v>
      </c>
      <c r="C4" s="31" t="s">
        <v>140</v>
      </c>
      <c r="D4" s="28">
        <v>4</v>
      </c>
      <c r="E4" s="29" t="s">
        <v>141</v>
      </c>
    </row>
    <row r="5" spans="2:5" ht="15.75" x14ac:dyDescent="0.25">
      <c r="B5" s="29" t="s">
        <v>133</v>
      </c>
      <c r="C5" s="30" t="s">
        <v>139</v>
      </c>
      <c r="D5" s="28">
        <v>0</v>
      </c>
      <c r="E5" s="29" t="s">
        <v>137</v>
      </c>
    </row>
    <row r="6" spans="2:5" ht="15.75" x14ac:dyDescent="0.25">
      <c r="B6" s="29" t="s">
        <v>134</v>
      </c>
      <c r="C6" s="30" t="s">
        <v>142</v>
      </c>
      <c r="D6" s="28">
        <v>4</v>
      </c>
      <c r="E6" s="29"/>
    </row>
    <row r="7" spans="2:5" ht="15.75" x14ac:dyDescent="0.25">
      <c r="B7" s="29" t="s">
        <v>136</v>
      </c>
      <c r="C7" s="30" t="s">
        <v>143</v>
      </c>
      <c r="D7" s="28">
        <v>8</v>
      </c>
      <c r="E7" s="2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06B56-1BCC-45BB-9F49-584796E8BE3F}">
  <dimension ref="A1:E7"/>
  <sheetViews>
    <sheetView workbookViewId="0">
      <selection sqref="A1:A2"/>
    </sheetView>
  </sheetViews>
  <sheetFormatPr defaultRowHeight="15" x14ac:dyDescent="0.25"/>
  <cols>
    <col min="1" max="1" width="21.7109375" customWidth="1"/>
    <col min="2" max="2" width="41.28515625" customWidth="1"/>
    <col min="3" max="3" width="68.7109375" customWidth="1"/>
    <col min="4" max="4" width="61.5703125" customWidth="1"/>
    <col min="5" max="5" width="25.85546875" customWidth="1"/>
  </cols>
  <sheetData>
    <row r="1" spans="1:5" x14ac:dyDescent="0.25">
      <c r="A1" s="38" t="s">
        <v>1</v>
      </c>
      <c r="B1" s="38" t="s">
        <v>2</v>
      </c>
      <c r="C1" s="38" t="s">
        <v>3</v>
      </c>
      <c r="D1" s="38" t="s">
        <v>4</v>
      </c>
      <c r="E1" s="22" t="s">
        <v>128</v>
      </c>
    </row>
    <row r="2" spans="1:5" x14ac:dyDescent="0.25">
      <c r="A2" s="39"/>
      <c r="B2" s="39"/>
      <c r="C2" s="39"/>
      <c r="D2" s="39"/>
      <c r="E2" s="17">
        <f>SUM(E3:E7)</f>
        <v>104.5</v>
      </c>
    </row>
    <row r="3" spans="1:5" ht="180" x14ac:dyDescent="0.25">
      <c r="A3" s="3" t="s">
        <v>0</v>
      </c>
      <c r="B3" s="4" t="s">
        <v>8</v>
      </c>
      <c r="C3" s="4" t="s">
        <v>9</v>
      </c>
      <c r="D3" s="5" t="s">
        <v>10</v>
      </c>
      <c r="E3" s="16">
        <v>52</v>
      </c>
    </row>
    <row r="4" spans="1:5" ht="60" x14ac:dyDescent="0.25">
      <c r="A4" s="3" t="s">
        <v>20</v>
      </c>
      <c r="B4" s="4" t="s">
        <v>22</v>
      </c>
      <c r="C4" s="4" t="s">
        <v>23</v>
      </c>
      <c r="D4" s="5" t="s">
        <v>21</v>
      </c>
      <c r="E4" s="16">
        <v>12.5</v>
      </c>
    </row>
    <row r="5" spans="1:5" ht="75" x14ac:dyDescent="0.25">
      <c r="A5" s="3" t="s">
        <v>52</v>
      </c>
      <c r="B5" s="4" t="s">
        <v>53</v>
      </c>
      <c r="C5" s="4" t="s">
        <v>54</v>
      </c>
      <c r="D5" s="5" t="s">
        <v>55</v>
      </c>
      <c r="E5" s="16">
        <v>12</v>
      </c>
    </row>
    <row r="6" spans="1:5" ht="180" x14ac:dyDescent="0.25">
      <c r="A6" s="3" t="s">
        <v>74</v>
      </c>
      <c r="B6" s="4" t="s">
        <v>87</v>
      </c>
      <c r="C6" s="4" t="s">
        <v>88</v>
      </c>
      <c r="D6" s="5" t="s">
        <v>89</v>
      </c>
      <c r="E6" s="16">
        <v>12</v>
      </c>
    </row>
    <row r="7" spans="1:5" ht="90" x14ac:dyDescent="0.25">
      <c r="A7" s="3" t="s">
        <v>99</v>
      </c>
      <c r="B7" s="4" t="s">
        <v>103</v>
      </c>
      <c r="C7" s="4" t="s">
        <v>104</v>
      </c>
      <c r="D7" s="5" t="s">
        <v>105</v>
      </c>
      <c r="E7" s="16">
        <v>16</v>
      </c>
    </row>
  </sheetData>
  <mergeCells count="4">
    <mergeCell ref="A1:A2"/>
    <mergeCell ref="B1:B2"/>
    <mergeCell ref="C1:C2"/>
    <mergeCell ref="D1:D2"/>
  </mergeCells>
  <hyperlinks>
    <hyperlink ref="D3" r:id="rId1" xr:uid="{2E27C319-8BE7-4248-BB78-4D771D26C7C9}"/>
    <hyperlink ref="D4" r:id="rId2" xr:uid="{DF31A3FD-DF56-40BA-835F-27DB9A64F809}"/>
    <hyperlink ref="D5" r:id="rId3" xr:uid="{0408F9BF-1D5A-43EC-A2BF-A62E6ACA8072}"/>
    <hyperlink ref="D6" r:id="rId4" xr:uid="{97014B5D-3EEC-442B-911B-3EADB457FDFC}"/>
    <hyperlink ref="D7" r:id="rId5" xr:uid="{9C0C932A-C4D9-4F31-ACD8-8944F4505F7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91932-E199-45CE-BDD1-8790716E661C}">
  <dimension ref="B1:P36"/>
  <sheetViews>
    <sheetView zoomScale="70" zoomScaleNormal="70" workbookViewId="0">
      <pane ySplit="2" topLeftCell="A30" activePane="bottomLeft" state="frozen"/>
      <selection pane="bottomLeft" activeCell="C34" sqref="C34:E34"/>
    </sheetView>
  </sheetViews>
  <sheetFormatPr defaultRowHeight="15" x14ac:dyDescent="0.25"/>
  <cols>
    <col min="1" max="1" width="3" customWidth="1"/>
    <col min="2" max="2" width="18.5703125" customWidth="1"/>
    <col min="3" max="3" width="38.140625" customWidth="1"/>
    <col min="4" max="4" width="93.7109375" customWidth="1"/>
    <col min="5" max="5" width="54.28515625" customWidth="1"/>
    <col min="6" max="6" width="18.42578125" bestFit="1" customWidth="1"/>
    <col min="7" max="8" width="18.42578125" customWidth="1"/>
    <col min="9" max="9" width="20.85546875" style="1" bestFit="1" customWidth="1"/>
    <col min="10" max="10" width="10.7109375" style="1" bestFit="1" customWidth="1"/>
    <col min="11" max="15" width="9.140625" style="1"/>
  </cols>
  <sheetData>
    <row r="1" spans="2:16" ht="27.75" customHeight="1" x14ac:dyDescent="0.25"/>
    <row r="2" spans="2:16" ht="54" x14ac:dyDescent="0.25">
      <c r="B2" s="2" t="s">
        <v>1</v>
      </c>
      <c r="C2" s="2" t="s">
        <v>2</v>
      </c>
      <c r="D2" s="2" t="s">
        <v>3</v>
      </c>
      <c r="E2" s="2" t="s">
        <v>4</v>
      </c>
      <c r="F2" s="14" t="s">
        <v>124</v>
      </c>
      <c r="G2" s="14" t="s">
        <v>129</v>
      </c>
      <c r="H2" s="14" t="s">
        <v>125</v>
      </c>
      <c r="I2" s="20" t="s">
        <v>118</v>
      </c>
      <c r="J2" s="21" t="s">
        <v>115</v>
      </c>
      <c r="K2" s="21" t="s">
        <v>112</v>
      </c>
      <c r="L2" s="21" t="s">
        <v>113</v>
      </c>
      <c r="M2" s="21" t="s">
        <v>111</v>
      </c>
      <c r="N2" s="21" t="s">
        <v>114</v>
      </c>
      <c r="O2" s="21" t="s">
        <v>117</v>
      </c>
      <c r="P2" s="23" t="s">
        <v>126</v>
      </c>
    </row>
    <row r="3" spans="2:16" ht="60" x14ac:dyDescent="0.25">
      <c r="B3" s="3" t="s">
        <v>0</v>
      </c>
      <c r="C3" s="4" t="s">
        <v>5</v>
      </c>
      <c r="D3" s="4" t="s">
        <v>6</v>
      </c>
      <c r="E3" s="5" t="s">
        <v>7</v>
      </c>
      <c r="F3" s="18">
        <v>47.5</v>
      </c>
      <c r="G3" s="18">
        <f>F3*30%</f>
        <v>14.25</v>
      </c>
      <c r="H3" s="18">
        <f>F3+G3</f>
        <v>61.75</v>
      </c>
      <c r="I3" s="6" t="s">
        <v>115</v>
      </c>
      <c r="J3" s="6" t="s">
        <v>116</v>
      </c>
      <c r="K3" s="6"/>
      <c r="L3" s="6"/>
      <c r="M3" s="6"/>
      <c r="N3" s="6"/>
      <c r="O3" s="7">
        <f>COUNTIF(J3:N3,"&lt;&gt;")</f>
        <v>1</v>
      </c>
      <c r="P3" s="24"/>
    </row>
    <row r="4" spans="2:16" ht="120" x14ac:dyDescent="0.25">
      <c r="B4" s="3" t="s">
        <v>0</v>
      </c>
      <c r="C4" s="4" t="s">
        <v>8</v>
      </c>
      <c r="D4" s="4" t="s">
        <v>9</v>
      </c>
      <c r="E4" s="5" t="s">
        <v>10</v>
      </c>
      <c r="F4" s="18">
        <v>40</v>
      </c>
      <c r="G4" s="18">
        <f t="shared" ref="G4:G35" si="0">F4*30%</f>
        <v>12</v>
      </c>
      <c r="H4" s="18">
        <f t="shared" ref="H4:H35" si="1">F4+G4</f>
        <v>52</v>
      </c>
      <c r="I4" s="15" t="s">
        <v>119</v>
      </c>
      <c r="J4" s="6"/>
      <c r="K4" s="6" t="s">
        <v>116</v>
      </c>
      <c r="L4" s="6" t="s">
        <v>116</v>
      </c>
      <c r="M4" s="6" t="s">
        <v>116</v>
      </c>
      <c r="N4" s="6"/>
      <c r="O4" s="12">
        <f t="shared" ref="O4:O36" si="2">COUNTIF(J4:N4,"&lt;&gt;")</f>
        <v>3</v>
      </c>
      <c r="P4" s="6" t="s">
        <v>127</v>
      </c>
    </row>
    <row r="5" spans="2:16" ht="60" x14ac:dyDescent="0.25">
      <c r="B5" s="3" t="s">
        <v>0</v>
      </c>
      <c r="C5" s="4" t="s">
        <v>11</v>
      </c>
      <c r="D5" s="4" t="s">
        <v>13</v>
      </c>
      <c r="E5" s="5" t="s">
        <v>12</v>
      </c>
      <c r="F5" s="18">
        <v>7.5</v>
      </c>
      <c r="G5" s="18">
        <f t="shared" si="0"/>
        <v>2.25</v>
      </c>
      <c r="H5" s="18">
        <f t="shared" si="1"/>
        <v>9.75</v>
      </c>
      <c r="I5" s="6"/>
      <c r="J5" s="6"/>
      <c r="K5" s="6"/>
      <c r="L5" s="6"/>
      <c r="M5" s="6"/>
      <c r="N5" s="6"/>
      <c r="O5" s="7">
        <f t="shared" si="2"/>
        <v>0</v>
      </c>
      <c r="P5" s="24"/>
    </row>
    <row r="6" spans="2:16" ht="120" x14ac:dyDescent="0.25">
      <c r="B6" s="3" t="s">
        <v>0</v>
      </c>
      <c r="C6" s="4" t="s">
        <v>14</v>
      </c>
      <c r="D6" s="4" t="s">
        <v>15</v>
      </c>
      <c r="E6" s="5" t="s">
        <v>16</v>
      </c>
      <c r="F6" s="18">
        <v>84</v>
      </c>
      <c r="G6" s="18">
        <f t="shared" si="0"/>
        <v>25.2</v>
      </c>
      <c r="H6" s="18">
        <f t="shared" si="1"/>
        <v>109.2</v>
      </c>
      <c r="I6" s="6" t="s">
        <v>113</v>
      </c>
      <c r="J6" s="6"/>
      <c r="K6" s="6"/>
      <c r="L6" s="6" t="s">
        <v>116</v>
      </c>
      <c r="M6" s="6"/>
      <c r="N6" s="6"/>
      <c r="O6" s="7">
        <f t="shared" si="2"/>
        <v>1</v>
      </c>
      <c r="P6" s="24"/>
    </row>
    <row r="7" spans="2:16" ht="120" x14ac:dyDescent="0.25">
      <c r="B7" s="3" t="s">
        <v>0</v>
      </c>
      <c r="C7" s="4" t="s">
        <v>17</v>
      </c>
      <c r="D7" s="4" t="s">
        <v>19</v>
      </c>
      <c r="E7" s="5" t="s">
        <v>18</v>
      </c>
      <c r="F7" s="18">
        <v>15.5</v>
      </c>
      <c r="G7" s="18">
        <f t="shared" si="0"/>
        <v>4.6499999999999995</v>
      </c>
      <c r="H7" s="18">
        <f t="shared" si="1"/>
        <v>20.149999999999999</v>
      </c>
      <c r="I7" s="6"/>
      <c r="J7" s="6"/>
      <c r="K7" s="6"/>
      <c r="L7" s="6"/>
      <c r="M7" s="6"/>
      <c r="N7" s="6"/>
      <c r="O7" s="7">
        <f t="shared" si="2"/>
        <v>0</v>
      </c>
      <c r="P7" s="24"/>
    </row>
    <row r="8" spans="2:16" ht="60" x14ac:dyDescent="0.25">
      <c r="B8" s="8" t="s">
        <v>20</v>
      </c>
      <c r="C8" s="9" t="s">
        <v>22</v>
      </c>
      <c r="D8" s="9" t="s">
        <v>23</v>
      </c>
      <c r="E8" s="10" t="s">
        <v>21</v>
      </c>
      <c r="F8" s="19">
        <v>9.5</v>
      </c>
      <c r="G8" s="19">
        <f t="shared" si="0"/>
        <v>2.85</v>
      </c>
      <c r="H8" s="19">
        <f t="shared" si="1"/>
        <v>12.35</v>
      </c>
      <c r="I8" s="13" t="s">
        <v>120</v>
      </c>
      <c r="J8" s="11" t="s">
        <v>116</v>
      </c>
      <c r="K8" s="11"/>
      <c r="L8" s="11" t="s">
        <v>116</v>
      </c>
      <c r="M8" s="11" t="s">
        <v>116</v>
      </c>
      <c r="N8" s="11"/>
      <c r="O8" s="12">
        <f t="shared" si="2"/>
        <v>3</v>
      </c>
      <c r="P8" s="6" t="s">
        <v>127</v>
      </c>
    </row>
    <row r="9" spans="2:16" ht="45" x14ac:dyDescent="0.25">
      <c r="B9" s="8" t="s">
        <v>20</v>
      </c>
      <c r="C9" s="9" t="s">
        <v>24</v>
      </c>
      <c r="D9" s="9" t="s">
        <v>25</v>
      </c>
      <c r="E9" s="10" t="s">
        <v>26</v>
      </c>
      <c r="F9" s="19">
        <v>8</v>
      </c>
      <c r="G9" s="19">
        <f t="shared" si="0"/>
        <v>2.4</v>
      </c>
      <c r="H9" s="19">
        <f t="shared" si="1"/>
        <v>10.4</v>
      </c>
      <c r="I9" s="11"/>
      <c r="J9" s="11"/>
      <c r="K9" s="11"/>
      <c r="L9" s="11"/>
      <c r="M9" s="11"/>
      <c r="N9" s="11"/>
      <c r="O9" s="7">
        <f t="shared" si="2"/>
        <v>0</v>
      </c>
      <c r="P9" s="24"/>
    </row>
    <row r="10" spans="2:16" ht="105" x14ac:dyDescent="0.25">
      <c r="B10" s="8" t="s">
        <v>20</v>
      </c>
      <c r="C10" s="9" t="s">
        <v>27</v>
      </c>
      <c r="D10" s="9" t="s">
        <v>28</v>
      </c>
      <c r="E10" s="10" t="s">
        <v>29</v>
      </c>
      <c r="F10" s="19">
        <v>20</v>
      </c>
      <c r="G10" s="19">
        <f t="shared" si="0"/>
        <v>6</v>
      </c>
      <c r="H10" s="19">
        <f t="shared" si="1"/>
        <v>26</v>
      </c>
      <c r="I10" s="11"/>
      <c r="J10" s="11"/>
      <c r="K10" s="11"/>
      <c r="L10" s="11"/>
      <c r="M10" s="11"/>
      <c r="N10" s="11"/>
      <c r="O10" s="7">
        <f t="shared" si="2"/>
        <v>0</v>
      </c>
      <c r="P10" s="24"/>
    </row>
    <row r="11" spans="2:16" ht="60" x14ac:dyDescent="0.25">
      <c r="B11" s="8" t="s">
        <v>20</v>
      </c>
      <c r="C11" s="9" t="s">
        <v>30</v>
      </c>
      <c r="D11" s="9" t="s">
        <v>31</v>
      </c>
      <c r="E11" s="10" t="s">
        <v>32</v>
      </c>
      <c r="F11" s="19">
        <v>3.5</v>
      </c>
      <c r="G11" s="19">
        <f t="shared" si="0"/>
        <v>1.05</v>
      </c>
      <c r="H11" s="19">
        <f t="shared" si="1"/>
        <v>4.55</v>
      </c>
      <c r="I11" s="11" t="s">
        <v>112</v>
      </c>
      <c r="J11" s="11"/>
      <c r="K11" s="11" t="s">
        <v>116</v>
      </c>
      <c r="L11" s="11"/>
      <c r="M11" s="11"/>
      <c r="N11" s="11"/>
      <c r="O11" s="7">
        <f t="shared" si="2"/>
        <v>1</v>
      </c>
      <c r="P11" s="24"/>
    </row>
    <row r="12" spans="2:16" ht="75" x14ac:dyDescent="0.25">
      <c r="B12" s="8" t="s">
        <v>20</v>
      </c>
      <c r="C12" s="9" t="s">
        <v>33</v>
      </c>
      <c r="D12" s="9" t="s">
        <v>34</v>
      </c>
      <c r="E12" s="10" t="s">
        <v>35</v>
      </c>
      <c r="F12" s="19">
        <v>27</v>
      </c>
      <c r="G12" s="19">
        <f t="shared" si="0"/>
        <v>8.1</v>
      </c>
      <c r="H12" s="19">
        <f t="shared" si="1"/>
        <v>35.1</v>
      </c>
      <c r="I12" s="11"/>
      <c r="J12" s="11"/>
      <c r="K12" s="11"/>
      <c r="L12" s="11"/>
      <c r="M12" s="11"/>
      <c r="N12" s="11"/>
      <c r="O12" s="7">
        <f t="shared" si="2"/>
        <v>0</v>
      </c>
      <c r="P12" s="24"/>
    </row>
    <row r="13" spans="2:16" ht="150" x14ac:dyDescent="0.25">
      <c r="B13" s="3" t="s">
        <v>36</v>
      </c>
      <c r="C13" s="4" t="s">
        <v>37</v>
      </c>
      <c r="D13" s="4" t="s">
        <v>38</v>
      </c>
      <c r="E13" s="5" t="s">
        <v>39</v>
      </c>
      <c r="F13" s="18">
        <v>71</v>
      </c>
      <c r="G13" s="18">
        <f t="shared" si="0"/>
        <v>21.3</v>
      </c>
      <c r="H13" s="18">
        <f t="shared" si="1"/>
        <v>92.3</v>
      </c>
      <c r="I13" s="6" t="s">
        <v>111</v>
      </c>
      <c r="J13" s="6"/>
      <c r="K13" s="6"/>
      <c r="L13" s="6"/>
      <c r="M13" s="6" t="s">
        <v>116</v>
      </c>
      <c r="N13" s="6"/>
      <c r="O13" s="7">
        <f t="shared" si="2"/>
        <v>1</v>
      </c>
      <c r="P13" s="24"/>
    </row>
    <row r="14" spans="2:16" ht="120" x14ac:dyDescent="0.25">
      <c r="B14" s="3" t="s">
        <v>36</v>
      </c>
      <c r="C14" s="4" t="s">
        <v>40</v>
      </c>
      <c r="D14" s="4" t="s">
        <v>41</v>
      </c>
      <c r="E14" s="5" t="s">
        <v>42</v>
      </c>
      <c r="F14" s="18">
        <v>61</v>
      </c>
      <c r="G14" s="18">
        <f t="shared" si="0"/>
        <v>18.3</v>
      </c>
      <c r="H14" s="18">
        <f t="shared" si="1"/>
        <v>79.3</v>
      </c>
      <c r="I14" s="6"/>
      <c r="J14" s="6"/>
      <c r="K14" s="6"/>
      <c r="L14" s="6"/>
      <c r="M14" s="6"/>
      <c r="N14" s="6"/>
      <c r="O14" s="7">
        <f t="shared" si="2"/>
        <v>0</v>
      </c>
      <c r="P14" s="24"/>
    </row>
    <row r="15" spans="2:16" ht="156" customHeight="1" x14ac:dyDescent="0.25">
      <c r="B15" s="3" t="s">
        <v>36</v>
      </c>
      <c r="C15" s="4" t="s">
        <v>43</v>
      </c>
      <c r="D15" s="4" t="s">
        <v>44</v>
      </c>
      <c r="E15" s="5" t="s">
        <v>45</v>
      </c>
      <c r="F15" s="18">
        <v>21.5</v>
      </c>
      <c r="G15" s="18">
        <f t="shared" si="0"/>
        <v>6.45</v>
      </c>
      <c r="H15" s="18">
        <f t="shared" si="1"/>
        <v>27.95</v>
      </c>
      <c r="I15" s="6"/>
      <c r="J15" s="6"/>
      <c r="K15" s="6"/>
      <c r="L15" s="6"/>
      <c r="M15" s="6"/>
      <c r="N15" s="6"/>
      <c r="O15" s="7">
        <f t="shared" si="2"/>
        <v>0</v>
      </c>
      <c r="P15" s="24"/>
    </row>
    <row r="16" spans="2:16" ht="128.25" customHeight="1" x14ac:dyDescent="0.25">
      <c r="B16" s="3" t="s">
        <v>36</v>
      </c>
      <c r="C16" s="4" t="s">
        <v>46</v>
      </c>
      <c r="D16" s="4" t="s">
        <v>47</v>
      </c>
      <c r="E16" s="5" t="s">
        <v>48</v>
      </c>
      <c r="F16" s="18">
        <v>4</v>
      </c>
      <c r="G16" s="18">
        <f t="shared" si="0"/>
        <v>1.2</v>
      </c>
      <c r="H16" s="18">
        <f t="shared" si="1"/>
        <v>5.2</v>
      </c>
      <c r="I16" s="6"/>
      <c r="J16" s="6"/>
      <c r="K16" s="6"/>
      <c r="L16" s="6"/>
      <c r="M16" s="6"/>
      <c r="N16" s="6"/>
      <c r="O16" s="7">
        <f t="shared" si="2"/>
        <v>0</v>
      </c>
      <c r="P16" s="24"/>
    </row>
    <row r="17" spans="2:16" ht="225" x14ac:dyDescent="0.25">
      <c r="B17" s="3" t="s">
        <v>36</v>
      </c>
      <c r="C17" s="4" t="s">
        <v>49</v>
      </c>
      <c r="D17" s="4" t="s">
        <v>50</v>
      </c>
      <c r="E17" s="5" t="s">
        <v>51</v>
      </c>
      <c r="F17" s="18">
        <v>33.5</v>
      </c>
      <c r="G17" s="18">
        <f t="shared" si="0"/>
        <v>10.049999999999999</v>
      </c>
      <c r="H17" s="18">
        <f t="shared" si="1"/>
        <v>43.55</v>
      </c>
      <c r="I17" s="6"/>
      <c r="J17" s="6"/>
      <c r="K17" s="6"/>
      <c r="L17" s="6"/>
      <c r="M17" s="6"/>
      <c r="N17" s="6"/>
      <c r="O17" s="7">
        <f t="shared" si="2"/>
        <v>0</v>
      </c>
      <c r="P17" s="24"/>
    </row>
    <row r="18" spans="2:16" ht="75" x14ac:dyDescent="0.25">
      <c r="B18" s="8" t="s">
        <v>52</v>
      </c>
      <c r="C18" s="9" t="s">
        <v>53</v>
      </c>
      <c r="D18" s="9" t="s">
        <v>54</v>
      </c>
      <c r="E18" s="10" t="s">
        <v>55</v>
      </c>
      <c r="F18" s="19">
        <v>9</v>
      </c>
      <c r="G18" s="19">
        <f t="shared" si="0"/>
        <v>2.6999999999999997</v>
      </c>
      <c r="H18" s="19">
        <f t="shared" si="1"/>
        <v>11.7</v>
      </c>
      <c r="I18" s="11" t="s">
        <v>113</v>
      </c>
      <c r="J18" s="11"/>
      <c r="K18" s="11"/>
      <c r="L18" s="11" t="s">
        <v>116</v>
      </c>
      <c r="M18" s="11"/>
      <c r="N18" s="11"/>
      <c r="O18" s="7">
        <f t="shared" si="2"/>
        <v>1</v>
      </c>
      <c r="P18" s="6" t="s">
        <v>127</v>
      </c>
    </row>
    <row r="19" spans="2:16" ht="409.5" x14ac:dyDescent="0.25">
      <c r="B19" s="8" t="s">
        <v>52</v>
      </c>
      <c r="C19" s="9" t="s">
        <v>56</v>
      </c>
      <c r="D19" s="9" t="s">
        <v>57</v>
      </c>
      <c r="E19" s="10" t="s">
        <v>58</v>
      </c>
      <c r="F19" s="19">
        <v>67</v>
      </c>
      <c r="G19" s="19">
        <f t="shared" si="0"/>
        <v>20.099999999999998</v>
      </c>
      <c r="H19" s="19">
        <f t="shared" si="1"/>
        <v>87.1</v>
      </c>
      <c r="I19" s="13" t="s">
        <v>115</v>
      </c>
      <c r="J19" s="11" t="s">
        <v>116</v>
      </c>
      <c r="K19" s="11"/>
      <c r="L19" s="11"/>
      <c r="M19" s="11"/>
      <c r="N19" s="11"/>
      <c r="O19" s="7">
        <f t="shared" si="2"/>
        <v>1</v>
      </c>
      <c r="P19" s="24"/>
    </row>
    <row r="20" spans="2:16" ht="209.25" customHeight="1" x14ac:dyDescent="0.25">
      <c r="B20" s="8" t="s">
        <v>52</v>
      </c>
      <c r="C20" s="9" t="s">
        <v>59</v>
      </c>
      <c r="D20" s="9" t="s">
        <v>60</v>
      </c>
      <c r="E20" s="10" t="s">
        <v>61</v>
      </c>
      <c r="F20" s="19">
        <v>22</v>
      </c>
      <c r="G20" s="19">
        <f t="shared" si="0"/>
        <v>6.6</v>
      </c>
      <c r="H20" s="19">
        <f t="shared" si="1"/>
        <v>28.6</v>
      </c>
      <c r="I20" s="11" t="s">
        <v>111</v>
      </c>
      <c r="J20" s="11"/>
      <c r="K20" s="11"/>
      <c r="L20" s="11"/>
      <c r="M20" s="11" t="s">
        <v>116</v>
      </c>
      <c r="N20" s="11"/>
      <c r="O20" s="7">
        <f t="shared" si="2"/>
        <v>1</v>
      </c>
      <c r="P20" s="24"/>
    </row>
    <row r="21" spans="2:16" ht="123" customHeight="1" x14ac:dyDescent="0.25">
      <c r="B21" s="8" t="s">
        <v>52</v>
      </c>
      <c r="C21" s="9" t="s">
        <v>62</v>
      </c>
      <c r="D21" s="9" t="s">
        <v>63</v>
      </c>
      <c r="E21" s="10" t="s">
        <v>64</v>
      </c>
      <c r="F21" s="19">
        <v>12.5</v>
      </c>
      <c r="G21" s="19">
        <f t="shared" si="0"/>
        <v>3.75</v>
      </c>
      <c r="H21" s="19">
        <f t="shared" si="1"/>
        <v>16.25</v>
      </c>
      <c r="I21" s="11"/>
      <c r="J21" s="11"/>
      <c r="K21" s="11"/>
      <c r="L21" s="11"/>
      <c r="M21" s="11"/>
      <c r="N21" s="11"/>
      <c r="O21" s="7">
        <f t="shared" si="2"/>
        <v>0</v>
      </c>
      <c r="P21" s="24"/>
    </row>
    <row r="22" spans="2:16" ht="228.75" customHeight="1" x14ac:dyDescent="0.25">
      <c r="B22" s="8" t="s">
        <v>52</v>
      </c>
      <c r="C22" s="9" t="s">
        <v>65</v>
      </c>
      <c r="D22" s="9" t="s">
        <v>66</v>
      </c>
      <c r="E22" s="10" t="s">
        <v>67</v>
      </c>
      <c r="F22" s="19">
        <v>11</v>
      </c>
      <c r="G22" s="19">
        <f t="shared" si="0"/>
        <v>3.3</v>
      </c>
      <c r="H22" s="19">
        <f t="shared" si="1"/>
        <v>14.3</v>
      </c>
      <c r="I22" s="11"/>
      <c r="J22" s="11"/>
      <c r="K22" s="11"/>
      <c r="L22" s="11"/>
      <c r="M22" s="11"/>
      <c r="N22" s="11"/>
      <c r="O22" s="7">
        <f t="shared" si="2"/>
        <v>0</v>
      </c>
      <c r="P22" s="24"/>
    </row>
    <row r="23" spans="2:16" ht="100.5" customHeight="1" x14ac:dyDescent="0.25">
      <c r="B23" s="3" t="s">
        <v>74</v>
      </c>
      <c r="C23" s="4" t="s">
        <v>68</v>
      </c>
      <c r="D23" s="4" t="s">
        <v>69</v>
      </c>
      <c r="E23" s="5" t="s">
        <v>70</v>
      </c>
      <c r="F23" s="18">
        <v>7.5</v>
      </c>
      <c r="G23" s="18">
        <f t="shared" si="0"/>
        <v>2.25</v>
      </c>
      <c r="H23" s="18">
        <f t="shared" si="1"/>
        <v>9.75</v>
      </c>
      <c r="I23" s="15" t="s">
        <v>121</v>
      </c>
      <c r="J23" s="6" t="s">
        <v>116</v>
      </c>
      <c r="K23" s="6" t="s">
        <v>116</v>
      </c>
      <c r="L23" s="6"/>
      <c r="M23" s="6"/>
      <c r="N23" s="6" t="s">
        <v>116</v>
      </c>
      <c r="O23" s="7">
        <f t="shared" si="2"/>
        <v>3</v>
      </c>
      <c r="P23" s="6"/>
    </row>
    <row r="24" spans="2:16" ht="134.25" customHeight="1" x14ac:dyDescent="0.25">
      <c r="B24" s="3" t="s">
        <v>74</v>
      </c>
      <c r="C24" s="4" t="s">
        <v>71</v>
      </c>
      <c r="D24" s="4" t="s">
        <v>72</v>
      </c>
      <c r="E24" s="5" t="s">
        <v>73</v>
      </c>
      <c r="F24" s="18">
        <v>11</v>
      </c>
      <c r="G24" s="18">
        <f t="shared" si="0"/>
        <v>3.3</v>
      </c>
      <c r="H24" s="18">
        <f t="shared" si="1"/>
        <v>14.3</v>
      </c>
      <c r="I24" s="15" t="s">
        <v>122</v>
      </c>
      <c r="J24" s="6" t="s">
        <v>116</v>
      </c>
      <c r="K24" s="6" t="s">
        <v>116</v>
      </c>
      <c r="L24" s="6"/>
      <c r="M24" s="6"/>
      <c r="N24" s="6"/>
      <c r="O24" s="7">
        <f t="shared" si="2"/>
        <v>2</v>
      </c>
      <c r="P24" s="24"/>
    </row>
    <row r="25" spans="2:16" ht="226.5" customHeight="1" x14ac:dyDescent="0.25">
      <c r="B25" s="3" t="s">
        <v>74</v>
      </c>
      <c r="C25" s="4" t="s">
        <v>75</v>
      </c>
      <c r="D25" s="4" t="s">
        <v>76</v>
      </c>
      <c r="E25" s="5" t="s">
        <v>77</v>
      </c>
      <c r="F25" s="18">
        <v>6.5</v>
      </c>
      <c r="G25" s="18">
        <f t="shared" si="0"/>
        <v>1.95</v>
      </c>
      <c r="H25" s="18">
        <f t="shared" si="1"/>
        <v>8.4499999999999993</v>
      </c>
      <c r="I25" s="6"/>
      <c r="J25" s="6"/>
      <c r="K25" s="6"/>
      <c r="L25" s="6"/>
      <c r="M25" s="6"/>
      <c r="N25" s="6"/>
      <c r="O25" s="7">
        <f t="shared" si="2"/>
        <v>0</v>
      </c>
      <c r="P25" s="24"/>
    </row>
    <row r="26" spans="2:16" ht="173.25" customHeight="1" x14ac:dyDescent="0.25">
      <c r="B26" s="3" t="s">
        <v>74</v>
      </c>
      <c r="C26" s="4" t="s">
        <v>78</v>
      </c>
      <c r="D26" s="4" t="s">
        <v>79</v>
      </c>
      <c r="E26" s="5" t="s">
        <v>80</v>
      </c>
      <c r="F26" s="18">
        <v>4.5</v>
      </c>
      <c r="G26" s="18">
        <f t="shared" si="0"/>
        <v>1.3499999999999999</v>
      </c>
      <c r="H26" s="18">
        <f t="shared" si="1"/>
        <v>5.85</v>
      </c>
      <c r="I26" s="6"/>
      <c r="J26" s="6"/>
      <c r="K26" s="6"/>
      <c r="L26" s="6"/>
      <c r="M26" s="6"/>
      <c r="N26" s="6"/>
      <c r="O26" s="7">
        <f t="shared" si="2"/>
        <v>0</v>
      </c>
      <c r="P26" s="24"/>
    </row>
    <row r="27" spans="2:16" ht="129.75" customHeight="1" x14ac:dyDescent="0.25">
      <c r="B27" s="3" t="s">
        <v>74</v>
      </c>
      <c r="C27" s="4" t="s">
        <v>81</v>
      </c>
      <c r="D27" s="4" t="s">
        <v>82</v>
      </c>
      <c r="E27" s="5" t="s">
        <v>83</v>
      </c>
      <c r="F27" s="18">
        <v>3</v>
      </c>
      <c r="G27" s="18">
        <f t="shared" si="0"/>
        <v>0.89999999999999991</v>
      </c>
      <c r="H27" s="18">
        <f t="shared" si="1"/>
        <v>3.9</v>
      </c>
      <c r="I27" s="6"/>
      <c r="J27" s="6"/>
      <c r="K27" s="6"/>
      <c r="L27" s="6"/>
      <c r="M27" s="6"/>
      <c r="N27" s="6"/>
      <c r="O27" s="7">
        <f t="shared" si="2"/>
        <v>0</v>
      </c>
      <c r="P27" s="24"/>
    </row>
    <row r="28" spans="2:16" ht="168" customHeight="1" x14ac:dyDescent="0.25">
      <c r="B28" s="3" t="s">
        <v>74</v>
      </c>
      <c r="C28" s="4" t="s">
        <v>84</v>
      </c>
      <c r="D28" s="4" t="s">
        <v>85</v>
      </c>
      <c r="E28" s="5" t="s">
        <v>86</v>
      </c>
      <c r="F28" s="18">
        <v>15</v>
      </c>
      <c r="G28" s="18">
        <f t="shared" si="0"/>
        <v>4.5</v>
      </c>
      <c r="H28" s="18">
        <f t="shared" si="1"/>
        <v>19.5</v>
      </c>
      <c r="I28" s="6"/>
      <c r="J28" s="6"/>
      <c r="K28" s="6"/>
      <c r="L28" s="6"/>
      <c r="M28" s="6"/>
      <c r="N28" s="6"/>
      <c r="O28" s="7">
        <f t="shared" si="2"/>
        <v>0</v>
      </c>
      <c r="P28" s="24"/>
    </row>
    <row r="29" spans="2:16" ht="117" customHeight="1" x14ac:dyDescent="0.25">
      <c r="B29" s="3" t="s">
        <v>74</v>
      </c>
      <c r="C29" s="4" t="s">
        <v>87</v>
      </c>
      <c r="D29" s="4" t="s">
        <v>88</v>
      </c>
      <c r="E29" s="5" t="s">
        <v>89</v>
      </c>
      <c r="F29" s="18">
        <v>9</v>
      </c>
      <c r="G29" s="18">
        <f t="shared" si="0"/>
        <v>2.6999999999999997</v>
      </c>
      <c r="H29" s="18">
        <f t="shared" si="1"/>
        <v>11.7</v>
      </c>
      <c r="I29" s="15" t="s">
        <v>123</v>
      </c>
      <c r="J29" s="6" t="s">
        <v>116</v>
      </c>
      <c r="K29" s="6" t="s">
        <v>116</v>
      </c>
      <c r="L29" s="6" t="s">
        <v>116</v>
      </c>
      <c r="M29" s="6" t="s">
        <v>116</v>
      </c>
      <c r="N29" s="6"/>
      <c r="O29" s="7">
        <f t="shared" si="2"/>
        <v>4</v>
      </c>
      <c r="P29" s="7" t="s">
        <v>127</v>
      </c>
    </row>
    <row r="30" spans="2:16" ht="99.75" customHeight="1" x14ac:dyDescent="0.25">
      <c r="B30" s="3" t="s">
        <v>74</v>
      </c>
      <c r="C30" s="4" t="s">
        <v>90</v>
      </c>
      <c r="D30" s="4" t="s">
        <v>91</v>
      </c>
      <c r="E30" s="5" t="s">
        <v>92</v>
      </c>
      <c r="F30" s="18">
        <v>4</v>
      </c>
      <c r="G30" s="18">
        <f t="shared" si="0"/>
        <v>1.2</v>
      </c>
      <c r="H30" s="18">
        <f t="shared" si="1"/>
        <v>5.2</v>
      </c>
      <c r="I30" s="6" t="s">
        <v>111</v>
      </c>
      <c r="J30" s="6"/>
      <c r="K30" s="6"/>
      <c r="L30" s="6"/>
      <c r="M30" s="6" t="s">
        <v>116</v>
      </c>
      <c r="N30" s="6"/>
      <c r="O30" s="7">
        <f t="shared" si="2"/>
        <v>1</v>
      </c>
      <c r="P30" s="24"/>
    </row>
    <row r="31" spans="2:16" ht="164.25" customHeight="1" x14ac:dyDescent="0.25">
      <c r="B31" s="8" t="s">
        <v>99</v>
      </c>
      <c r="C31" s="9" t="s">
        <v>93</v>
      </c>
      <c r="D31" s="9" t="s">
        <v>94</v>
      </c>
      <c r="E31" s="10" t="s">
        <v>95</v>
      </c>
      <c r="F31" s="19">
        <v>14</v>
      </c>
      <c r="G31" s="19">
        <f t="shared" si="0"/>
        <v>4.2</v>
      </c>
      <c r="H31" s="19">
        <f t="shared" si="1"/>
        <v>18.2</v>
      </c>
      <c r="I31" s="11" t="s">
        <v>114</v>
      </c>
      <c r="J31" s="11"/>
      <c r="K31" s="11"/>
      <c r="L31" s="11"/>
      <c r="M31" s="11"/>
      <c r="N31" s="11" t="s">
        <v>116</v>
      </c>
      <c r="O31" s="7">
        <f t="shared" si="2"/>
        <v>1</v>
      </c>
      <c r="P31" s="24"/>
    </row>
    <row r="32" spans="2:16" ht="72" customHeight="1" x14ac:dyDescent="0.25">
      <c r="B32" s="9"/>
      <c r="C32" s="9" t="s">
        <v>96</v>
      </c>
      <c r="D32" s="9" t="s">
        <v>97</v>
      </c>
      <c r="E32" s="10" t="s">
        <v>98</v>
      </c>
      <c r="F32" s="19">
        <v>18.5</v>
      </c>
      <c r="G32" s="19">
        <f t="shared" si="0"/>
        <v>5.55</v>
      </c>
      <c r="H32" s="19">
        <f t="shared" si="1"/>
        <v>24.05</v>
      </c>
      <c r="I32" s="11"/>
      <c r="J32" s="11"/>
      <c r="K32" s="11"/>
      <c r="L32" s="11"/>
      <c r="M32" s="11"/>
      <c r="N32" s="11"/>
      <c r="O32" s="7">
        <f t="shared" si="2"/>
        <v>0</v>
      </c>
      <c r="P32" s="24"/>
    </row>
    <row r="33" spans="2:16" ht="90" x14ac:dyDescent="0.25">
      <c r="B33" s="9"/>
      <c r="C33" s="9" t="s">
        <v>100</v>
      </c>
      <c r="D33" s="9" t="s">
        <v>101</v>
      </c>
      <c r="E33" s="10" t="s">
        <v>102</v>
      </c>
      <c r="F33" s="19">
        <v>15</v>
      </c>
      <c r="G33" s="19">
        <f t="shared" si="0"/>
        <v>4.5</v>
      </c>
      <c r="H33" s="19">
        <f t="shared" si="1"/>
        <v>19.5</v>
      </c>
      <c r="I33" s="11"/>
      <c r="J33" s="11"/>
      <c r="K33" s="11"/>
      <c r="L33" s="11"/>
      <c r="M33" s="11"/>
      <c r="N33" s="11"/>
      <c r="O33" s="7">
        <f t="shared" si="2"/>
        <v>0</v>
      </c>
      <c r="P33" s="24"/>
    </row>
    <row r="34" spans="2:16" ht="75" x14ac:dyDescent="0.25">
      <c r="B34" s="9"/>
      <c r="C34" s="9" t="s">
        <v>103</v>
      </c>
      <c r="D34" s="9" t="s">
        <v>104</v>
      </c>
      <c r="E34" s="10" t="s">
        <v>105</v>
      </c>
      <c r="F34" s="19">
        <v>12</v>
      </c>
      <c r="G34" s="19">
        <f t="shared" si="0"/>
        <v>3.5999999999999996</v>
      </c>
      <c r="H34" s="19">
        <f t="shared" si="1"/>
        <v>15.6</v>
      </c>
      <c r="I34" s="13" t="s">
        <v>122</v>
      </c>
      <c r="J34" s="11" t="s">
        <v>116</v>
      </c>
      <c r="K34" s="11" t="s">
        <v>116</v>
      </c>
      <c r="L34" s="11"/>
      <c r="M34" s="11"/>
      <c r="N34" s="11"/>
      <c r="O34" s="7">
        <f t="shared" si="2"/>
        <v>2</v>
      </c>
      <c r="P34" s="24" t="s">
        <v>127</v>
      </c>
    </row>
    <row r="35" spans="2:16" ht="150" x14ac:dyDescent="0.25">
      <c r="B35" s="3" t="s">
        <v>106</v>
      </c>
      <c r="C35" s="4" t="s">
        <v>107</v>
      </c>
      <c r="D35" s="4" t="s">
        <v>108</v>
      </c>
      <c r="E35" s="5" t="s">
        <v>109</v>
      </c>
      <c r="F35" s="18">
        <v>3.5</v>
      </c>
      <c r="G35" s="18">
        <f t="shared" si="0"/>
        <v>1.05</v>
      </c>
      <c r="H35" s="18">
        <f t="shared" si="1"/>
        <v>4.55</v>
      </c>
      <c r="I35" s="6"/>
      <c r="J35" s="6"/>
      <c r="K35" s="6"/>
      <c r="L35" s="6"/>
      <c r="M35" s="6"/>
      <c r="N35" s="6"/>
      <c r="O35" s="7">
        <f t="shared" si="2"/>
        <v>0</v>
      </c>
      <c r="P35" s="24"/>
    </row>
    <row r="36" spans="2:16" ht="30" x14ac:dyDescent="0.25">
      <c r="B36" s="4"/>
      <c r="C36" s="4" t="s">
        <v>110</v>
      </c>
      <c r="D36" s="4"/>
      <c r="E36" s="4"/>
      <c r="F36" s="4"/>
      <c r="G36" s="4"/>
      <c r="H36" s="4"/>
      <c r="I36" s="6"/>
      <c r="J36" s="6"/>
      <c r="K36" s="6"/>
      <c r="L36" s="6"/>
      <c r="M36" s="6"/>
      <c r="N36" s="6"/>
      <c r="O36" s="7">
        <f t="shared" si="2"/>
        <v>0</v>
      </c>
      <c r="P36" s="24"/>
    </row>
  </sheetData>
  <autoFilter ref="B2:P36" xr:uid="{23291932-E199-45CE-BDD1-8790716E661C}"/>
  <hyperlinks>
    <hyperlink ref="E3" r:id="rId1" xr:uid="{31820241-1065-4C9C-8802-A0B647EA5E17}"/>
    <hyperlink ref="E4" r:id="rId2" xr:uid="{865E9F60-E43A-4B14-B238-62CC40A2BFD4}"/>
    <hyperlink ref="E5" r:id="rId3" xr:uid="{797ED0CC-DE8A-4497-A484-7EE05CC90434}"/>
    <hyperlink ref="E6" r:id="rId4" display="https://www.udemy.com/course/the-ultimate-react-course/?couponCode=CM251224G1" xr:uid="{38E9013E-6557-4D8C-9A7B-B35F53EC7F31}"/>
    <hyperlink ref="E7" r:id="rId5" xr:uid="{317AD889-4C0D-4E51-8BB4-29A1D8B064AA}"/>
    <hyperlink ref="E8" r:id="rId6" xr:uid="{54583CCC-57DC-49B4-A02D-27D2EF7219C5}"/>
    <hyperlink ref="E9" r:id="rId7" display="https://www.udemy.com/course/introduction-typescript-development/?couponCode=CM251224G1" xr:uid="{799AD330-D2E3-41FC-9DFB-2BCE2D094738}"/>
    <hyperlink ref="E10" r:id="rId8" display="https://www.udemy.com/course/practical-typescript/?couponCode=CM251224G1" xr:uid="{563AADB9-D162-4159-A58E-85E7611595CE}"/>
    <hyperlink ref="E11" r:id="rId9" xr:uid="{83EB90FE-C85E-4F6F-BCC5-7910972AB039}"/>
    <hyperlink ref="E12" r:id="rId10" xr:uid="{176F87D0-D140-4A44-AC3A-0F8D610F6DBE}"/>
    <hyperlink ref="E13" r:id="rId11" xr:uid="{D8742FB8-E523-4756-ABB5-8FD9DF902387}"/>
    <hyperlink ref="E14" r:id="rId12" display="https://www.udemy.com/course/the-complete-web-development-bootcamp/?couponCode=CM251224G1" xr:uid="{3673FE4E-202E-415F-9BF1-70691604113F}"/>
    <hyperlink ref="E15" r:id="rId13" xr:uid="{318FF340-37AA-4972-A43C-5638F9AF576B}"/>
    <hyperlink ref="E16" r:id="rId14" xr:uid="{9BF276D1-94C8-472F-B2BC-B95DF4377E12}"/>
    <hyperlink ref="E17" r:id="rId15" display="https://www.udemy.com/course/the-best-javascript-course/?couponCode=CM251224G1" xr:uid="{FF76AB1A-81DE-4647-B3F5-AF0BE0E2D296}"/>
    <hyperlink ref="E18" r:id="rId16" xr:uid="{166CFAD3-E906-4CC2-AB2A-5B17C28E9DBD}"/>
    <hyperlink ref="E19" r:id="rId17" display="https://www.udemy.com/course/postgresqlmasterclass/?couponCode=CM251224G1" xr:uid="{15348EE3-06A5-4E35-9149-65B55297BE8B}"/>
    <hyperlink ref="E20" r:id="rId18" xr:uid="{BE468292-FDFD-44B0-81F3-7A8904FFD991}"/>
    <hyperlink ref="E21" r:id="rId19" xr:uid="{84D59039-3CF0-4680-990A-C4639BC4563F}"/>
    <hyperlink ref="E22" r:id="rId20" display="https://www.udemy.com/course/complete-microsoft-sql-masterclass-beginner-advanced/?couponCode=CM251224G1" xr:uid="{DF73A16F-87B5-4637-B1CA-BEEA14A1AA4E}"/>
    <hyperlink ref="E23" r:id="rId21" display="https://www.udemy.com/course/aws-sam-framework-and-aws-lambda/?couponCode=CM251224G1" xr:uid="{68043252-2BB7-4FB6-A54E-82D7658FA498}"/>
    <hyperlink ref="E24" r:id="rId22" display="https://www.udemy.com/course/amazon-s3-deep-dive/?couponCode=CM251224G1" xr:uid="{77430D86-770E-4E9B-BFBD-044CEB49FAB2}"/>
    <hyperlink ref="E25" r:id="rId23" display="https://www.udemy.com/course/aws-cloudformation-master-class/?couponCode=CM251224G1" xr:uid="{B82DC50F-BE08-432C-BD91-0C1C92B76839}"/>
    <hyperlink ref="E26" r:id="rId24" xr:uid="{02797FC9-C7CD-48D7-B354-5F89F5D30A0B}"/>
    <hyperlink ref="E27" r:id="rId25" xr:uid="{CA86FABB-8D9D-4522-9C21-C5D0CCFDFA74}"/>
    <hyperlink ref="E28" r:id="rId26" xr:uid="{B54E19D2-99C2-438C-86A8-456F2737D22F}"/>
    <hyperlink ref="E29" r:id="rId27" xr:uid="{947C4DF7-BB07-418D-BD6C-D265F139BFD9}"/>
    <hyperlink ref="E30" r:id="rId28" xr:uid="{AE69BE31-D296-4456-9A8E-C1986EEC8EAC}"/>
    <hyperlink ref="E31" r:id="rId29" xr:uid="{1457045C-1394-4D37-BB95-B3636417CE28}"/>
    <hyperlink ref="E32" r:id="rId30" xr:uid="{01264ECA-EA5F-471B-9F13-C5A972BB5094}"/>
    <hyperlink ref="E33" r:id="rId31" xr:uid="{54DC6E36-BC1F-41A2-9375-45B292FF7516}"/>
    <hyperlink ref="E34" r:id="rId32" xr:uid="{4E8BA072-B20B-4A3F-99E1-997F3F4AFF0D}"/>
    <hyperlink ref="E35" r:id="rId33" xr:uid="{531F7711-21F9-4254-A15D-7C955F02BF4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Thông tin TK</vt:lpstr>
      <vt:lpstr>Member training</vt:lpstr>
      <vt:lpstr>Tổng hợp</vt:lpstr>
      <vt:lpstr>Chi tiết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Vuong Thuy Linh</dc:creator>
  <cp:lastModifiedBy>Dao Dang Ket</cp:lastModifiedBy>
  <dcterms:created xsi:type="dcterms:W3CDTF">2025-12-24T02:11:40Z</dcterms:created>
  <dcterms:modified xsi:type="dcterms:W3CDTF">2026-01-05T02:43:48Z</dcterms:modified>
</cp:coreProperties>
</file>